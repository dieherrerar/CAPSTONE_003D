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2sPxZccKR4RZh/+aoQ/WOHllIPjXgR8T4XK5hL2LPcA="/>
    </ext>
  </extLst>
</workbook>
</file>

<file path=xl/sharedStrings.xml><?xml version="1.0" encoding="utf-8"?>
<sst xmlns="http://schemas.openxmlformats.org/spreadsheetml/2006/main" count="15" uniqueCount="15">
  <si>
    <t>Historía</t>
  </si>
  <si>
    <t>Horas Estimadas</t>
  </si>
  <si>
    <t>Día del Sprint</t>
  </si>
  <si>
    <t>Total</t>
  </si>
  <si>
    <t>H1</t>
  </si>
  <si>
    <t>H4</t>
  </si>
  <si>
    <t>H7</t>
  </si>
  <si>
    <t>H10</t>
  </si>
  <si>
    <t>H21</t>
  </si>
  <si>
    <t>H18</t>
  </si>
  <si>
    <t>H19</t>
  </si>
  <si>
    <t>Horas totales</t>
  </si>
  <si>
    <t>Día</t>
  </si>
  <si>
    <t>ideal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</si>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</sst>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75BD75"/>
        <bgColor rgb="FF75BD75"/>
      </patternFill>
    </fill>
    <fill>
      <patternFill patternType="solid">
        <fgColor rgb="FFC5E0B3"/>
        <bgColor rgb="FFC5E0B3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6" fillId="3" fontId="1" numFmtId="0" xfId="0" applyAlignment="1" applyBorder="1" applyFont="1">
      <alignment horizontal="center" readingOrder="0" vertical="center"/>
    </xf>
    <xf borderId="6" fillId="4" fontId="1" numFmtId="0" xfId="0" applyAlignment="1" applyBorder="1" applyFill="1" applyFont="1">
      <alignment horizontal="center" vertical="center"/>
    </xf>
    <xf borderId="6" fillId="2" fontId="1" numFmtId="0" xfId="0" applyBorder="1" applyFont="1"/>
    <xf borderId="6" fillId="5" fontId="1" numFmtId="0" xfId="0" applyAlignment="1" applyBorder="1" applyFill="1" applyFont="1">
      <alignment horizontal="center" vertical="center"/>
    </xf>
    <xf borderId="6" fillId="6" fontId="1" numFmtId="1" xfId="0" applyAlignment="1" applyBorder="1" applyFill="1" applyFont="1" applyNumberFormat="1">
      <alignment horizontal="center" readingOrder="0" vertical="center"/>
    </xf>
    <xf borderId="6" fillId="7" fontId="1" numFmtId="0" xfId="0" applyAlignment="1" applyBorder="1" applyFill="1" applyFont="1">
      <alignment horizontal="center" vertical="center"/>
    </xf>
    <xf borderId="6" fillId="6" fontId="1" numFmtId="1" xfId="0" applyAlignment="1" applyBorder="1" applyFont="1" applyNumberFormat="1">
      <alignment horizontal="center" vertical="center"/>
    </xf>
    <xf borderId="6" fillId="7" fontId="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BurndownChart -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ideal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Hoja1!$B$32:$B$51</c:f>
            </c:strRef>
          </c:cat>
          <c:val>
            <c:numRef>
              <c:f>Hoja1!$C$31:$C$52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Hoja1!$B$32:$B$51</c:f>
            </c:strRef>
          </c:cat>
          <c:val>
            <c:numRef>
              <c:f>Hoja1!$D$31:$D$52</c:f>
              <c:numCache/>
            </c:numRef>
          </c:val>
          <c:smooth val="0"/>
        </c:ser>
        <c:axId val="1316923975"/>
        <c:axId val="1026588809"/>
      </c:lineChart>
      <c:catAx>
        <c:axId val="1316923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6588809"/>
      </c:catAx>
      <c:valAx>
        <c:axId val="1026588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69239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13</xdr:row>
      <xdr:rowOff>28575</xdr:rowOff>
    </xdr:from>
    <xdr:ext cx="4562475" cy="2876550"/>
    <xdr:graphicFrame>
      <xdr:nvGraphicFramePr>
        <xdr:cNvPr id="153096457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13.57"/>
    <col customWidth="1" min="3" max="3" width="15.29"/>
    <col customWidth="1" min="4" max="4" width="8.14"/>
    <col customWidth="1" min="5" max="7" width="5.29"/>
    <col customWidth="1" min="8" max="8" width="5.0"/>
    <col customWidth="1" min="9" max="10" width="4.43"/>
    <col customWidth="1" min="11" max="11" width="4.71"/>
    <col customWidth="1" min="12" max="12" width="5.0"/>
    <col customWidth="1" min="13" max="13" width="4.43"/>
    <col customWidth="1" min="14" max="14" width="4.71"/>
    <col customWidth="1" min="15" max="15" width="4.57"/>
    <col customWidth="1" min="16" max="20" width="4.71"/>
    <col customWidth="1" min="21" max="21" width="4.43"/>
    <col customWidth="1" min="22" max="22" width="4.86"/>
    <col customWidth="1" min="23" max="23" width="4.71"/>
    <col customWidth="1" min="24" max="26" width="9.14"/>
  </cols>
  <sheetData>
    <row r="3">
      <c r="B3" s="1" t="s">
        <v>0</v>
      </c>
      <c r="C3" s="1" t="s">
        <v>1</v>
      </c>
      <c r="D3" s="2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1" t="s">
        <v>3</v>
      </c>
    </row>
    <row r="4">
      <c r="B4" s="5"/>
      <c r="C4" s="5"/>
      <c r="D4" s="6">
        <v>1.0</v>
      </c>
      <c r="E4" s="6">
        <v>2.0</v>
      </c>
      <c r="F4" s="6">
        <v>3.0</v>
      </c>
      <c r="G4" s="6">
        <v>4.0</v>
      </c>
      <c r="H4" s="6">
        <v>5.0</v>
      </c>
      <c r="I4" s="6">
        <v>6.0</v>
      </c>
      <c r="J4" s="6">
        <v>7.0</v>
      </c>
      <c r="K4" s="6">
        <v>8.0</v>
      </c>
      <c r="L4" s="6">
        <v>9.0</v>
      </c>
      <c r="M4" s="6">
        <v>10.0</v>
      </c>
      <c r="N4" s="6">
        <v>11.0</v>
      </c>
      <c r="O4" s="6">
        <v>12.0</v>
      </c>
      <c r="P4" s="6">
        <v>13.0</v>
      </c>
      <c r="Q4" s="6">
        <v>14.0</v>
      </c>
      <c r="R4" s="6">
        <v>15.0</v>
      </c>
      <c r="S4" s="6">
        <v>16.0</v>
      </c>
      <c r="T4" s="6">
        <v>17.0</v>
      </c>
      <c r="U4" s="6">
        <v>18.0</v>
      </c>
      <c r="V4" s="6">
        <v>19.0</v>
      </c>
      <c r="W4" s="6">
        <v>20.0</v>
      </c>
      <c r="X4" s="5"/>
    </row>
    <row r="5">
      <c r="B5" s="7" t="s">
        <v>4</v>
      </c>
      <c r="C5" s="7">
        <v>15.0</v>
      </c>
      <c r="D5" s="8">
        <v>1.0</v>
      </c>
      <c r="E5" s="8">
        <v>2.0</v>
      </c>
      <c r="F5" s="8">
        <v>1.0</v>
      </c>
      <c r="G5" s="8">
        <v>0.0</v>
      </c>
      <c r="H5" s="8">
        <v>0.0</v>
      </c>
      <c r="I5" s="8">
        <v>3.0</v>
      </c>
      <c r="J5" s="8">
        <v>0.0</v>
      </c>
      <c r="K5" s="8">
        <v>0.0</v>
      </c>
      <c r="L5" s="8">
        <v>2.0</v>
      </c>
      <c r="M5" s="8">
        <v>2.0</v>
      </c>
      <c r="N5" s="8">
        <v>1.0</v>
      </c>
      <c r="O5" s="8">
        <v>0.0</v>
      </c>
      <c r="P5" s="8">
        <v>2.0</v>
      </c>
      <c r="Q5" s="8">
        <v>0.0</v>
      </c>
      <c r="R5" s="8">
        <v>1.0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9">
        <f t="shared" ref="X5:X11" si="1">SUM(D5:W5)</f>
        <v>15</v>
      </c>
    </row>
    <row r="6">
      <c r="B6" s="7" t="s">
        <v>5</v>
      </c>
      <c r="C6" s="7">
        <v>6.0</v>
      </c>
      <c r="D6" s="8">
        <v>0.0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2.0</v>
      </c>
      <c r="Q6" s="8">
        <v>1.0</v>
      </c>
      <c r="R6" s="8">
        <v>1.0</v>
      </c>
      <c r="S6" s="8">
        <v>1.0</v>
      </c>
      <c r="T6" s="8">
        <v>1.0</v>
      </c>
      <c r="U6" s="8">
        <v>0.0</v>
      </c>
      <c r="V6" s="8">
        <v>0.0</v>
      </c>
      <c r="W6" s="8">
        <v>0.0</v>
      </c>
      <c r="X6" s="9">
        <f t="shared" si="1"/>
        <v>6</v>
      </c>
    </row>
    <row r="7">
      <c r="B7" s="7" t="s">
        <v>6</v>
      </c>
      <c r="C7" s="7">
        <v>24.0</v>
      </c>
      <c r="D7" s="7">
        <v>0.0</v>
      </c>
      <c r="E7" s="7">
        <v>0.0</v>
      </c>
      <c r="F7" s="7">
        <v>0.0</v>
      </c>
      <c r="G7" s="7">
        <v>0.0</v>
      </c>
      <c r="H7" s="7">
        <v>4.0</v>
      </c>
      <c r="I7" s="7">
        <v>2.0</v>
      </c>
      <c r="J7" s="7">
        <v>0.0</v>
      </c>
      <c r="K7" s="7">
        <v>6.0</v>
      </c>
      <c r="L7" s="7">
        <v>2.0</v>
      </c>
      <c r="M7" s="7">
        <v>0.0</v>
      </c>
      <c r="N7" s="7">
        <v>0.0</v>
      </c>
      <c r="O7" s="7">
        <v>0.0</v>
      </c>
      <c r="P7" s="7">
        <v>0.0</v>
      </c>
      <c r="Q7" s="8">
        <v>4.0</v>
      </c>
      <c r="R7" s="8">
        <v>4.0</v>
      </c>
      <c r="S7" s="8">
        <v>2.0</v>
      </c>
      <c r="T7" s="8">
        <v>0.0</v>
      </c>
      <c r="U7" s="8">
        <v>0.0</v>
      </c>
      <c r="V7" s="8">
        <v>0.0</v>
      </c>
      <c r="W7" s="8">
        <v>0.0</v>
      </c>
      <c r="X7" s="9">
        <f t="shared" si="1"/>
        <v>24</v>
      </c>
    </row>
    <row r="8">
      <c r="B8" s="7" t="s">
        <v>7</v>
      </c>
      <c r="C8" s="7">
        <v>16.0</v>
      </c>
      <c r="D8" s="8">
        <v>0.0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3.0</v>
      </c>
      <c r="T8" s="8">
        <v>3.0</v>
      </c>
      <c r="U8" s="8">
        <v>4.0</v>
      </c>
      <c r="V8" s="8">
        <v>3.0</v>
      </c>
      <c r="W8" s="8">
        <v>3.0</v>
      </c>
      <c r="X8" s="9">
        <f t="shared" si="1"/>
        <v>16</v>
      </c>
    </row>
    <row r="9">
      <c r="B9" s="8" t="s">
        <v>8</v>
      </c>
      <c r="C9" s="8">
        <v>12.0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2.0</v>
      </c>
      <c r="S9" s="8">
        <v>0.0</v>
      </c>
      <c r="T9" s="8">
        <v>2.0</v>
      </c>
      <c r="U9" s="8">
        <v>2.0</v>
      </c>
      <c r="V9" s="8">
        <v>2.0</v>
      </c>
      <c r="W9" s="8">
        <v>4.0</v>
      </c>
      <c r="X9" s="9">
        <f t="shared" si="1"/>
        <v>12</v>
      </c>
    </row>
    <row r="10">
      <c r="B10" s="7" t="s">
        <v>9</v>
      </c>
      <c r="C10" s="7">
        <v>16.0</v>
      </c>
      <c r="D10" s="8">
        <v>1.0</v>
      </c>
      <c r="E10" s="8">
        <v>0.0</v>
      </c>
      <c r="F10" s="8">
        <v>3.0</v>
      </c>
      <c r="G10" s="8">
        <v>1.0</v>
      </c>
      <c r="H10" s="8">
        <v>1.0</v>
      </c>
      <c r="I10" s="8">
        <v>0.0</v>
      </c>
      <c r="J10" s="8">
        <v>2.0</v>
      </c>
      <c r="K10" s="8">
        <v>1.0</v>
      </c>
      <c r="L10" s="8">
        <v>0.0</v>
      </c>
      <c r="M10" s="8">
        <v>0.0</v>
      </c>
      <c r="N10" s="8">
        <v>1.0</v>
      </c>
      <c r="O10" s="8">
        <v>1.0</v>
      </c>
      <c r="P10" s="8">
        <v>1.0</v>
      </c>
      <c r="Q10" s="8">
        <v>1.0</v>
      </c>
      <c r="R10" s="8">
        <v>0.0</v>
      </c>
      <c r="S10" s="8">
        <v>1.0</v>
      </c>
      <c r="T10" s="8">
        <v>1.0</v>
      </c>
      <c r="U10" s="8">
        <v>1.0</v>
      </c>
      <c r="V10" s="8">
        <v>0.0</v>
      </c>
      <c r="W10" s="8">
        <v>0.0</v>
      </c>
      <c r="X10" s="9">
        <f t="shared" si="1"/>
        <v>16</v>
      </c>
    </row>
    <row r="11">
      <c r="B11" s="7" t="s">
        <v>10</v>
      </c>
      <c r="C11" s="7">
        <v>53.0</v>
      </c>
      <c r="D11" s="7">
        <v>2.0</v>
      </c>
      <c r="E11" s="7">
        <v>2.0</v>
      </c>
      <c r="F11" s="7">
        <v>0.0</v>
      </c>
      <c r="G11" s="7">
        <v>4.0</v>
      </c>
      <c r="H11" s="7">
        <v>0.0</v>
      </c>
      <c r="I11" s="8">
        <v>6.0</v>
      </c>
      <c r="J11" s="8">
        <v>6.0</v>
      </c>
      <c r="K11" s="7">
        <v>2.0</v>
      </c>
      <c r="L11" s="7">
        <v>0.0</v>
      </c>
      <c r="M11" s="8">
        <v>5.0</v>
      </c>
      <c r="N11" s="7">
        <v>6.0</v>
      </c>
      <c r="O11" s="8">
        <v>4.0</v>
      </c>
      <c r="P11" s="8">
        <v>4.0</v>
      </c>
      <c r="Q11" s="7">
        <v>3.0</v>
      </c>
      <c r="R11" s="8">
        <v>2.0</v>
      </c>
      <c r="S11" s="8">
        <v>2.0</v>
      </c>
      <c r="T11" s="8">
        <v>2.0</v>
      </c>
      <c r="U11" s="8">
        <v>0.0</v>
      </c>
      <c r="V11" s="8">
        <v>2.0</v>
      </c>
      <c r="W11" s="8">
        <v>1.0</v>
      </c>
      <c r="X11" s="9">
        <f t="shared" si="1"/>
        <v>53</v>
      </c>
    </row>
    <row r="12">
      <c r="B12" s="10" t="s">
        <v>11</v>
      </c>
      <c r="C12" s="6">
        <f>SUM($C$5:$C$11)</f>
        <v>142</v>
      </c>
      <c r="D12" s="6">
        <f t="shared" ref="D12:X12" si="2">SUM(D5:D11)</f>
        <v>4</v>
      </c>
      <c r="E12" s="6">
        <f t="shared" si="2"/>
        <v>4</v>
      </c>
      <c r="F12" s="6">
        <f t="shared" si="2"/>
        <v>4</v>
      </c>
      <c r="G12" s="6">
        <f t="shared" si="2"/>
        <v>5</v>
      </c>
      <c r="H12" s="6">
        <f t="shared" si="2"/>
        <v>5</v>
      </c>
      <c r="I12" s="6">
        <f t="shared" si="2"/>
        <v>11</v>
      </c>
      <c r="J12" s="6">
        <f t="shared" si="2"/>
        <v>8</v>
      </c>
      <c r="K12" s="6">
        <f t="shared" si="2"/>
        <v>9</v>
      </c>
      <c r="L12" s="6">
        <f t="shared" si="2"/>
        <v>4</v>
      </c>
      <c r="M12" s="6">
        <f t="shared" si="2"/>
        <v>7</v>
      </c>
      <c r="N12" s="6">
        <f t="shared" si="2"/>
        <v>8</v>
      </c>
      <c r="O12" s="6">
        <f t="shared" si="2"/>
        <v>5</v>
      </c>
      <c r="P12" s="6">
        <f t="shared" si="2"/>
        <v>9</v>
      </c>
      <c r="Q12" s="6">
        <f t="shared" si="2"/>
        <v>9</v>
      </c>
      <c r="R12" s="6">
        <f t="shared" si="2"/>
        <v>10</v>
      </c>
      <c r="S12" s="6">
        <f t="shared" si="2"/>
        <v>9</v>
      </c>
      <c r="T12" s="6">
        <f t="shared" si="2"/>
        <v>9</v>
      </c>
      <c r="U12" s="6">
        <f t="shared" si="2"/>
        <v>7</v>
      </c>
      <c r="V12" s="6">
        <f t="shared" si="2"/>
        <v>7</v>
      </c>
      <c r="W12" s="6">
        <f t="shared" si="2"/>
        <v>8</v>
      </c>
      <c r="X12" s="10">
        <f t="shared" si="2"/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B30" s="11" t="s">
        <v>12</v>
      </c>
      <c r="C30" s="11" t="s">
        <v>13</v>
      </c>
      <c r="D30" s="11" t="s">
        <v>14</v>
      </c>
    </row>
    <row r="31" ht="15.75" customHeight="1">
      <c r="B31" s="9">
        <v>0.0</v>
      </c>
      <c r="C31" s="12">
        <v>142.0</v>
      </c>
      <c r="D31" s="13">
        <f>SUM($C$5:$C$11)</f>
        <v>142</v>
      </c>
    </row>
    <row r="32" ht="15.75" customHeight="1">
      <c r="B32" s="9">
        <v>1.0</v>
      </c>
      <c r="C32" s="14">
        <f t="shared" ref="C32:C51" si="3">C31-$C$54</f>
        <v>134.9</v>
      </c>
      <c r="D32" s="15">
        <f>D31-D12</f>
        <v>138</v>
      </c>
    </row>
    <row r="33" ht="15.75" customHeight="1">
      <c r="B33" s="9">
        <v>2.0</v>
      </c>
      <c r="C33" s="14">
        <f t="shared" si="3"/>
        <v>127.8</v>
      </c>
      <c r="D33" s="15">
        <f>D32 - E12</f>
        <v>134</v>
      </c>
    </row>
    <row r="34" ht="15.75" customHeight="1">
      <c r="B34" s="9">
        <v>3.0</v>
      </c>
      <c r="C34" s="14">
        <f t="shared" si="3"/>
        <v>120.7</v>
      </c>
      <c r="D34" s="13">
        <f>D33 - F12</f>
        <v>130</v>
      </c>
    </row>
    <row r="35" ht="15.75" customHeight="1">
      <c r="B35" s="9">
        <v>4.0</v>
      </c>
      <c r="C35" s="14">
        <f t="shared" si="3"/>
        <v>113.6</v>
      </c>
      <c r="D35" s="13">
        <f>D34 - G12</f>
        <v>125</v>
      </c>
    </row>
    <row r="36" ht="15.75" customHeight="1">
      <c r="B36" s="9">
        <v>5.0</v>
      </c>
      <c r="C36" s="14">
        <f t="shared" si="3"/>
        <v>106.5</v>
      </c>
      <c r="D36" s="13">
        <f>D35 - H12</f>
        <v>120</v>
      </c>
    </row>
    <row r="37" ht="15.75" customHeight="1">
      <c r="B37" s="9">
        <v>6.0</v>
      </c>
      <c r="C37" s="14">
        <f t="shared" si="3"/>
        <v>99.4</v>
      </c>
      <c r="D37" s="13">
        <f>D36 - I12</f>
        <v>109</v>
      </c>
    </row>
    <row r="38" ht="15.75" customHeight="1">
      <c r="B38" s="9">
        <v>7.0</v>
      </c>
      <c r="C38" s="14">
        <f t="shared" si="3"/>
        <v>92.3</v>
      </c>
      <c r="D38" s="13">
        <f>D37-J12</f>
        <v>101</v>
      </c>
    </row>
    <row r="39" ht="15.75" customHeight="1">
      <c r="B39" s="9">
        <v>8.0</v>
      </c>
      <c r="C39" s="14">
        <f t="shared" si="3"/>
        <v>85.2</v>
      </c>
      <c r="D39" s="13">
        <f>D38-K12</f>
        <v>92</v>
      </c>
    </row>
    <row r="40" ht="15.75" customHeight="1">
      <c r="B40" s="16">
        <v>9.0</v>
      </c>
      <c r="C40" s="14">
        <f t="shared" si="3"/>
        <v>78.1</v>
      </c>
      <c r="D40" s="13">
        <f>D39 - L12</f>
        <v>88</v>
      </c>
    </row>
    <row r="41" ht="15.75" customHeight="1">
      <c r="B41" s="9">
        <v>10.0</v>
      </c>
      <c r="C41" s="14">
        <f t="shared" si="3"/>
        <v>71</v>
      </c>
      <c r="D41" s="13">
        <f>D40 - M12</f>
        <v>81</v>
      </c>
    </row>
    <row r="42" ht="15.75" customHeight="1">
      <c r="B42" s="9">
        <v>11.0</v>
      </c>
      <c r="C42" s="14">
        <f t="shared" si="3"/>
        <v>63.9</v>
      </c>
      <c r="D42" s="13">
        <f>D41 - N12</f>
        <v>73</v>
      </c>
    </row>
    <row r="43" ht="15.75" customHeight="1">
      <c r="B43" s="9">
        <v>12.0</v>
      </c>
      <c r="C43" s="14">
        <f t="shared" si="3"/>
        <v>56.8</v>
      </c>
      <c r="D43" s="13">
        <f>D42 - O12</f>
        <v>68</v>
      </c>
    </row>
    <row r="44" ht="15.75" customHeight="1">
      <c r="B44" s="9">
        <v>13.0</v>
      </c>
      <c r="C44" s="14">
        <f t="shared" si="3"/>
        <v>49.7</v>
      </c>
      <c r="D44" s="13">
        <f>D43 -P12</f>
        <v>59</v>
      </c>
    </row>
    <row r="45" ht="15.75" customHeight="1">
      <c r="B45" s="9">
        <v>14.0</v>
      </c>
      <c r="C45" s="14">
        <f t="shared" si="3"/>
        <v>42.6</v>
      </c>
      <c r="D45" s="13">
        <f>D44 - Q12</f>
        <v>50</v>
      </c>
    </row>
    <row r="46" ht="15.75" customHeight="1">
      <c r="B46" s="9">
        <v>15.0</v>
      </c>
      <c r="C46" s="14">
        <f t="shared" si="3"/>
        <v>35.5</v>
      </c>
      <c r="D46" s="13">
        <f>D45 - R12</f>
        <v>40</v>
      </c>
    </row>
    <row r="47" ht="15.75" customHeight="1">
      <c r="B47" s="9">
        <v>16.0</v>
      </c>
      <c r="C47" s="14">
        <f t="shared" si="3"/>
        <v>28.4</v>
      </c>
      <c r="D47" s="13">
        <f>D46 - S12</f>
        <v>31</v>
      </c>
    </row>
    <row r="48" ht="15.75" customHeight="1">
      <c r="B48" s="9">
        <v>17.0</v>
      </c>
      <c r="C48" s="14">
        <f t="shared" si="3"/>
        <v>21.3</v>
      </c>
      <c r="D48" s="13">
        <f>D47 - T12</f>
        <v>22</v>
      </c>
    </row>
    <row r="49" ht="15.75" customHeight="1">
      <c r="B49" s="9">
        <v>18.0</v>
      </c>
      <c r="C49" s="14">
        <f t="shared" si="3"/>
        <v>14.2</v>
      </c>
      <c r="D49" s="13">
        <f>D48 -U12</f>
        <v>15</v>
      </c>
    </row>
    <row r="50" ht="15.75" customHeight="1">
      <c r="B50" s="9">
        <v>19.0</v>
      </c>
      <c r="C50" s="14">
        <f t="shared" si="3"/>
        <v>7.1</v>
      </c>
      <c r="D50" s="13">
        <f>D49 -V12</f>
        <v>8</v>
      </c>
    </row>
    <row r="51" ht="15.75" customHeight="1">
      <c r="B51" s="9">
        <v>20.0</v>
      </c>
      <c r="C51" s="14">
        <f t="shared" si="3"/>
        <v>0</v>
      </c>
      <c r="D51" s="13">
        <f>D50 - W12</f>
        <v>0</v>
      </c>
    </row>
    <row r="52" ht="15.75" customHeight="1"/>
    <row r="53" ht="15.75" customHeight="1"/>
    <row r="54" ht="15.75" customHeight="1">
      <c r="C54" s="17">
        <f>C31/20</f>
        <v>7.1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B4"/>
    <mergeCell ref="C3:C4"/>
    <mergeCell ref="D3:W3"/>
    <mergeCell ref="X3:X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Eisen</dc:creator>
</cp:coreProperties>
</file>