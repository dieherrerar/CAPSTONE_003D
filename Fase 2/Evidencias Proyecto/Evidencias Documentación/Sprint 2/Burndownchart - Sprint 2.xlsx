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isen\Downloads\"/>
    </mc:Choice>
  </mc:AlternateContent>
  <xr:revisionPtr revIDLastSave="0" documentId="13_ncr:1_{AB150B12-D5E6-453E-8D0D-06BA4BBB21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mbpOfyIQq/DD2LIULQ+bZ4FZMlBdpyAYpRp/kpoalo="/>
    </ext>
  </extLst>
</workbook>
</file>

<file path=xl/calcChain.xml><?xml version="1.0" encoding="utf-8"?>
<calcChain xmlns="http://schemas.openxmlformats.org/spreadsheetml/2006/main">
  <c r="C49" i="1" l="1"/>
  <c r="C32" i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C11" i="1"/>
  <c r="S10" i="1"/>
  <c r="S9" i="1"/>
  <c r="S11" i="1" s="1"/>
  <c r="S8" i="1"/>
  <c r="S7" i="1"/>
  <c r="S6" i="1"/>
  <c r="S5" i="1"/>
</calcChain>
</file>

<file path=xl/sharedStrings.xml><?xml version="1.0" encoding="utf-8"?>
<sst xmlns="http://schemas.openxmlformats.org/spreadsheetml/2006/main" count="14" uniqueCount="14">
  <si>
    <t>Historía</t>
  </si>
  <si>
    <t>Horas Estimadas</t>
  </si>
  <si>
    <t>Día del Sprint</t>
  </si>
  <si>
    <t>Total</t>
  </si>
  <si>
    <t>H9</t>
  </si>
  <si>
    <t>H11</t>
  </si>
  <si>
    <t>H15</t>
  </si>
  <si>
    <t>H17</t>
  </si>
  <si>
    <t>H22</t>
  </si>
  <si>
    <t>H23</t>
  </si>
  <si>
    <t>Horas totales</t>
  </si>
  <si>
    <t>Día</t>
  </si>
  <si>
    <t>ideal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</si>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</sst>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75BD75"/>
        <bgColor rgb="FF75BD7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1" fontId="1" fillId="6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64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MX" sz="1400" b="0" i="0">
                <a:solidFill>
                  <a:srgbClr val="757575"/>
                </a:solidFill>
                <a:latin typeface="+mn-lt"/>
              </a:rPr>
              <a:t>BurndownChart - Sprint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ideal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Hoja1!$B$32:$B$46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Hoja1!$C$31:$C$47</c:f>
              <c:numCache>
                <c:formatCode>0</c:formatCode>
                <c:ptCount val="17"/>
                <c:pt idx="0">
                  <c:v>64</c:v>
                </c:pt>
                <c:pt idx="1">
                  <c:v>59.733333333333334</c:v>
                </c:pt>
                <c:pt idx="2">
                  <c:v>55.466666666666669</c:v>
                </c:pt>
                <c:pt idx="3">
                  <c:v>51.2</c:v>
                </c:pt>
                <c:pt idx="4">
                  <c:v>46.933333333333337</c:v>
                </c:pt>
                <c:pt idx="5">
                  <c:v>42.666666666666671</c:v>
                </c:pt>
                <c:pt idx="6">
                  <c:v>38.400000000000006</c:v>
                </c:pt>
                <c:pt idx="7">
                  <c:v>34.13333333333334</c:v>
                </c:pt>
                <c:pt idx="8">
                  <c:v>29.866666666666674</c:v>
                </c:pt>
                <c:pt idx="9">
                  <c:v>25.600000000000009</c:v>
                </c:pt>
                <c:pt idx="10">
                  <c:v>21.333333333333343</c:v>
                </c:pt>
                <c:pt idx="11">
                  <c:v>17.066666666666677</c:v>
                </c:pt>
                <c:pt idx="12">
                  <c:v>12.800000000000011</c:v>
                </c:pt>
                <c:pt idx="13">
                  <c:v>8.5333333333333456</c:v>
                </c:pt>
                <c:pt idx="14">
                  <c:v>4.266666666666679</c:v>
                </c:pt>
                <c:pt idx="15">
                  <c:v>1.2434497875801753E-14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2-4CD4-910C-C858B9052C3D}"/>
            </c:ext>
          </c:extLst>
        </c:ser>
        <c:ser>
          <c:idx val="1"/>
          <c:order val="1"/>
          <c:tx>
            <c:v>Real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Hoja1!$B$32:$B$46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Hoja1!$D$31:$D$47</c:f>
              <c:numCache>
                <c:formatCode>General</c:formatCode>
                <c:ptCount val="17"/>
                <c:pt idx="0">
                  <c:v>64</c:v>
                </c:pt>
                <c:pt idx="1">
                  <c:v>62</c:v>
                </c:pt>
                <c:pt idx="2">
                  <c:v>60</c:v>
                </c:pt>
                <c:pt idx="3">
                  <c:v>58</c:v>
                </c:pt>
                <c:pt idx="4">
                  <c:v>53</c:v>
                </c:pt>
                <c:pt idx="5">
                  <c:v>44</c:v>
                </c:pt>
                <c:pt idx="6">
                  <c:v>34</c:v>
                </c:pt>
                <c:pt idx="7">
                  <c:v>26</c:v>
                </c:pt>
                <c:pt idx="8">
                  <c:v>22</c:v>
                </c:pt>
                <c:pt idx="9">
                  <c:v>20</c:v>
                </c:pt>
                <c:pt idx="10">
                  <c:v>17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2-4CD4-910C-C858B90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570939"/>
        <c:axId val="130435621"/>
      </c:lineChart>
      <c:catAx>
        <c:axId val="1516570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30435621"/>
        <c:crosses val="autoZero"/>
        <c:auto val="1"/>
        <c:lblAlgn val="ctr"/>
        <c:lblOffset val="100"/>
        <c:noMultiLvlLbl val="1"/>
      </c:catAx>
      <c:valAx>
        <c:axId val="130435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Horas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1657093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12</xdr:row>
      <xdr:rowOff>28575</xdr:rowOff>
    </xdr:from>
    <xdr:ext cx="4819650" cy="3038475"/>
    <xdr:graphicFrame macro="">
      <xdr:nvGraphicFramePr>
        <xdr:cNvPr id="1530964577" name="Chart 1" title="Gráfico">
          <a:extLst>
            <a:ext uri="{FF2B5EF4-FFF2-40B4-BE49-F238E27FC236}">
              <a16:creationId xmlns:a16="http://schemas.microsoft.com/office/drawing/2014/main" id="{00000000-0008-0000-0000-000061AA4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995"/>
  <sheetViews>
    <sheetView showGridLines="0" tabSelected="1" topLeftCell="A12" zoomScale="175" zoomScaleNormal="175" workbookViewId="0">
      <selection activeCell="S23" sqref="S23"/>
    </sheetView>
  </sheetViews>
  <sheetFormatPr baseColWidth="10" defaultColWidth="14.42578125" defaultRowHeight="15" customHeight="1" x14ac:dyDescent="0.25"/>
  <cols>
    <col min="1" max="1" width="3.28515625" customWidth="1"/>
    <col min="2" max="2" width="13.5703125" customWidth="1"/>
    <col min="3" max="3" width="15.28515625" customWidth="1"/>
    <col min="4" max="4" width="8.140625" customWidth="1"/>
    <col min="5" max="7" width="5.28515625" customWidth="1"/>
    <col min="8" max="8" width="5" customWidth="1"/>
    <col min="9" max="10" width="4.42578125" customWidth="1"/>
    <col min="11" max="11" width="4.7109375" customWidth="1"/>
    <col min="12" max="12" width="5" customWidth="1"/>
    <col min="13" max="13" width="4.42578125" customWidth="1"/>
    <col min="14" max="14" width="4.7109375" customWidth="1"/>
    <col min="15" max="15" width="4.5703125" customWidth="1"/>
    <col min="16" max="18" width="4.7109375" customWidth="1"/>
    <col min="19" max="21" width="9.140625" customWidth="1"/>
  </cols>
  <sheetData>
    <row r="3" spans="2:19" x14ac:dyDescent="0.25">
      <c r="B3" s="10" t="s">
        <v>0</v>
      </c>
      <c r="C3" s="10" t="s">
        <v>1</v>
      </c>
      <c r="D3" s="12" t="s">
        <v>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0" t="s">
        <v>3</v>
      </c>
    </row>
    <row r="4" spans="2:19" x14ac:dyDescent="0.25">
      <c r="B4" s="11"/>
      <c r="C4" s="11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1"/>
    </row>
    <row r="5" spans="2:19" x14ac:dyDescent="0.25">
      <c r="B5" s="2" t="s">
        <v>4</v>
      </c>
      <c r="C5" s="2">
        <v>8</v>
      </c>
      <c r="D5" s="2">
        <v>0</v>
      </c>
      <c r="E5" s="2">
        <v>0</v>
      </c>
      <c r="F5" s="2">
        <v>0</v>
      </c>
      <c r="G5" s="2">
        <v>3</v>
      </c>
      <c r="H5" s="2">
        <v>2</v>
      </c>
      <c r="I5" s="2">
        <v>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3">
        <f t="shared" ref="S5:S10" si="0">SUM(D5:R5)</f>
        <v>8</v>
      </c>
    </row>
    <row r="6" spans="2:19" x14ac:dyDescent="0.25">
      <c r="B6" s="2" t="s">
        <v>5</v>
      </c>
      <c r="C6" s="2">
        <v>10</v>
      </c>
      <c r="D6" s="2">
        <v>2</v>
      </c>
      <c r="E6" s="2">
        <v>2</v>
      </c>
      <c r="F6" s="2">
        <v>2</v>
      </c>
      <c r="G6" s="2">
        <v>0</v>
      </c>
      <c r="H6" s="2">
        <v>2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3">
        <f t="shared" si="0"/>
        <v>10</v>
      </c>
    </row>
    <row r="7" spans="2:19" x14ac:dyDescent="0.25">
      <c r="B7" s="2" t="s">
        <v>6</v>
      </c>
      <c r="C7" s="2">
        <v>12</v>
      </c>
      <c r="D7" s="2">
        <v>0</v>
      </c>
      <c r="E7" s="2">
        <v>0</v>
      </c>
      <c r="F7" s="2">
        <v>0</v>
      </c>
      <c r="G7" s="2">
        <v>2</v>
      </c>
      <c r="H7" s="2">
        <v>3</v>
      </c>
      <c r="I7" s="2">
        <v>3</v>
      </c>
      <c r="J7" s="2">
        <v>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3">
        <f t="shared" si="0"/>
        <v>12</v>
      </c>
    </row>
    <row r="8" spans="2:19" x14ac:dyDescent="0.25">
      <c r="B8" s="2" t="s">
        <v>7</v>
      </c>
      <c r="C8" s="2">
        <v>12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2</v>
      </c>
      <c r="J8" s="2">
        <v>3</v>
      </c>
      <c r="K8" s="2">
        <v>2</v>
      </c>
      <c r="L8" s="2">
        <v>2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3">
        <f t="shared" si="0"/>
        <v>12</v>
      </c>
    </row>
    <row r="9" spans="2:19" x14ac:dyDescent="0.25">
      <c r="B9" s="2" t="s">
        <v>8</v>
      </c>
      <c r="C9" s="2">
        <v>12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3</v>
      </c>
      <c r="O9" s="2">
        <v>2</v>
      </c>
      <c r="P9" s="2">
        <v>2</v>
      </c>
      <c r="Q9" s="2">
        <v>2</v>
      </c>
      <c r="R9" s="2">
        <v>1</v>
      </c>
      <c r="S9" s="3">
        <f t="shared" si="0"/>
        <v>12</v>
      </c>
    </row>
    <row r="10" spans="2:19" x14ac:dyDescent="0.25">
      <c r="B10" s="2" t="s">
        <v>9</v>
      </c>
      <c r="C10" s="2">
        <v>10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2</v>
      </c>
      <c r="O10" s="2">
        <v>2</v>
      </c>
      <c r="P10" s="2">
        <v>2</v>
      </c>
      <c r="Q10" s="2">
        <v>1</v>
      </c>
      <c r="R10" s="2">
        <v>0</v>
      </c>
      <c r="S10" s="3">
        <f t="shared" si="0"/>
        <v>10</v>
      </c>
    </row>
    <row r="11" spans="2:19" x14ac:dyDescent="0.25">
      <c r="B11" s="4" t="s">
        <v>10</v>
      </c>
      <c r="C11" s="1">
        <f>SUM($C$5:$C$10)</f>
        <v>64</v>
      </c>
      <c r="D11" s="1">
        <f t="shared" ref="D11:S11" si="1">SUM(D5:D10)</f>
        <v>2</v>
      </c>
      <c r="E11" s="1">
        <f t="shared" si="1"/>
        <v>2</v>
      </c>
      <c r="F11" s="1">
        <f t="shared" si="1"/>
        <v>2</v>
      </c>
      <c r="G11" s="1">
        <f t="shared" si="1"/>
        <v>5</v>
      </c>
      <c r="H11" s="1">
        <f t="shared" si="1"/>
        <v>9</v>
      </c>
      <c r="I11" s="1">
        <f t="shared" si="1"/>
        <v>10</v>
      </c>
      <c r="J11" s="1">
        <f t="shared" si="1"/>
        <v>8</v>
      </c>
      <c r="K11" s="1">
        <f t="shared" si="1"/>
        <v>4</v>
      </c>
      <c r="L11" s="1">
        <f t="shared" si="1"/>
        <v>2</v>
      </c>
      <c r="M11" s="1">
        <f t="shared" si="1"/>
        <v>3</v>
      </c>
      <c r="N11" s="1">
        <f t="shared" si="1"/>
        <v>5</v>
      </c>
      <c r="O11" s="1">
        <f t="shared" si="1"/>
        <v>4</v>
      </c>
      <c r="P11" s="1">
        <f t="shared" si="1"/>
        <v>4</v>
      </c>
      <c r="Q11" s="1">
        <f t="shared" si="1"/>
        <v>3</v>
      </c>
      <c r="R11" s="1">
        <f t="shared" si="1"/>
        <v>1</v>
      </c>
      <c r="S11" s="5">
        <f t="shared" si="1"/>
        <v>64</v>
      </c>
    </row>
    <row r="21" spans="2:4" ht="15.75" customHeight="1" x14ac:dyDescent="0.25"/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>
      <c r="B30" s="6" t="s">
        <v>11</v>
      </c>
      <c r="C30" s="6" t="s">
        <v>12</v>
      </c>
      <c r="D30" s="6" t="s">
        <v>13</v>
      </c>
    </row>
    <row r="31" spans="2:4" ht="15.75" customHeight="1" x14ac:dyDescent="0.25">
      <c r="B31" s="3">
        <v>0</v>
      </c>
      <c r="C31" s="7">
        <v>64</v>
      </c>
      <c r="D31" s="8">
        <v>64</v>
      </c>
    </row>
    <row r="32" spans="2:4" ht="15.75" customHeight="1" x14ac:dyDescent="0.25">
      <c r="B32" s="3">
        <v>1</v>
      </c>
      <c r="C32" s="7">
        <f t="shared" ref="C32:C46" si="2">C31-$C$49</f>
        <v>59.733333333333334</v>
      </c>
      <c r="D32" s="8">
        <f>D31-D11</f>
        <v>62</v>
      </c>
    </row>
    <row r="33" spans="2:4" ht="15.75" customHeight="1" x14ac:dyDescent="0.25">
      <c r="B33" s="3">
        <v>2</v>
      </c>
      <c r="C33" s="7">
        <f t="shared" si="2"/>
        <v>55.466666666666669</v>
      </c>
      <c r="D33" s="8">
        <f>D32 - E11</f>
        <v>60</v>
      </c>
    </row>
    <row r="34" spans="2:4" ht="15.75" customHeight="1" x14ac:dyDescent="0.25">
      <c r="B34" s="3">
        <v>3</v>
      </c>
      <c r="C34" s="7">
        <f t="shared" si="2"/>
        <v>51.2</v>
      </c>
      <c r="D34" s="8">
        <f>D33 - F11</f>
        <v>58</v>
      </c>
    </row>
    <row r="35" spans="2:4" ht="15.75" customHeight="1" x14ac:dyDescent="0.25">
      <c r="B35" s="3">
        <v>4</v>
      </c>
      <c r="C35" s="7">
        <f t="shared" si="2"/>
        <v>46.933333333333337</v>
      </c>
      <c r="D35" s="8">
        <f>D34 - G11</f>
        <v>53</v>
      </c>
    </row>
    <row r="36" spans="2:4" ht="15.75" customHeight="1" x14ac:dyDescent="0.25">
      <c r="B36" s="3">
        <v>5</v>
      </c>
      <c r="C36" s="7">
        <f t="shared" si="2"/>
        <v>42.666666666666671</v>
      </c>
      <c r="D36" s="8">
        <f>D35 - H11</f>
        <v>44</v>
      </c>
    </row>
    <row r="37" spans="2:4" ht="15.75" customHeight="1" x14ac:dyDescent="0.25">
      <c r="B37" s="3">
        <v>6</v>
      </c>
      <c r="C37" s="7">
        <f t="shared" si="2"/>
        <v>38.400000000000006</v>
      </c>
      <c r="D37" s="8">
        <f>D36 - I11</f>
        <v>34</v>
      </c>
    </row>
    <row r="38" spans="2:4" ht="15.75" customHeight="1" x14ac:dyDescent="0.25">
      <c r="B38" s="3">
        <v>7</v>
      </c>
      <c r="C38" s="7">
        <f t="shared" si="2"/>
        <v>34.13333333333334</v>
      </c>
      <c r="D38" s="8">
        <f>D37-J11</f>
        <v>26</v>
      </c>
    </row>
    <row r="39" spans="2:4" ht="15.75" customHeight="1" x14ac:dyDescent="0.25">
      <c r="B39" s="3">
        <v>8</v>
      </c>
      <c r="C39" s="7">
        <f t="shared" si="2"/>
        <v>29.866666666666674</v>
      </c>
      <c r="D39" s="8">
        <f>D38-K11</f>
        <v>22</v>
      </c>
    </row>
    <row r="40" spans="2:4" ht="15.75" customHeight="1" x14ac:dyDescent="0.25">
      <c r="B40" s="3">
        <v>9</v>
      </c>
      <c r="C40" s="7">
        <f t="shared" si="2"/>
        <v>25.600000000000009</v>
      </c>
      <c r="D40" s="8">
        <f>D39 - L11</f>
        <v>20</v>
      </c>
    </row>
    <row r="41" spans="2:4" ht="15.75" customHeight="1" x14ac:dyDescent="0.25">
      <c r="B41" s="3">
        <v>10</v>
      </c>
      <c r="C41" s="7">
        <f t="shared" si="2"/>
        <v>21.333333333333343</v>
      </c>
      <c r="D41" s="8">
        <f>D40 - M11</f>
        <v>17</v>
      </c>
    </row>
    <row r="42" spans="2:4" ht="15.75" customHeight="1" x14ac:dyDescent="0.25">
      <c r="B42" s="3">
        <v>11</v>
      </c>
      <c r="C42" s="7">
        <f t="shared" si="2"/>
        <v>17.066666666666677</v>
      </c>
      <c r="D42" s="8">
        <f>D41 - N11</f>
        <v>12</v>
      </c>
    </row>
    <row r="43" spans="2:4" ht="15.75" customHeight="1" x14ac:dyDescent="0.25">
      <c r="B43" s="3">
        <v>12</v>
      </c>
      <c r="C43" s="7">
        <f t="shared" si="2"/>
        <v>12.800000000000011</v>
      </c>
      <c r="D43" s="8">
        <f>D42 - O11</f>
        <v>8</v>
      </c>
    </row>
    <row r="44" spans="2:4" ht="15.75" customHeight="1" x14ac:dyDescent="0.25">
      <c r="B44" s="3">
        <v>13</v>
      </c>
      <c r="C44" s="7">
        <f t="shared" si="2"/>
        <v>8.5333333333333456</v>
      </c>
      <c r="D44" s="8">
        <f>D43 -P11</f>
        <v>4</v>
      </c>
    </row>
    <row r="45" spans="2:4" ht="15.75" customHeight="1" x14ac:dyDescent="0.25">
      <c r="B45" s="3">
        <v>14</v>
      </c>
      <c r="C45" s="7">
        <f t="shared" si="2"/>
        <v>4.266666666666679</v>
      </c>
      <c r="D45" s="8">
        <f>D44 - Q11</f>
        <v>1</v>
      </c>
    </row>
    <row r="46" spans="2:4" ht="15.75" customHeight="1" x14ac:dyDescent="0.25">
      <c r="B46" s="3">
        <v>15</v>
      </c>
      <c r="C46" s="7">
        <f t="shared" si="2"/>
        <v>1.2434497875801753E-14</v>
      </c>
      <c r="D46" s="8">
        <f>D45 - R11</f>
        <v>0</v>
      </c>
    </row>
    <row r="47" spans="2:4" ht="15.75" customHeight="1" x14ac:dyDescent="0.25"/>
    <row r="48" spans="2:4" ht="15.75" customHeight="1" x14ac:dyDescent="0.25"/>
    <row r="49" spans="3:3" ht="15.75" customHeight="1" x14ac:dyDescent="0.25">
      <c r="C49" s="9">
        <f>C31/15</f>
        <v>4.2666666666666666</v>
      </c>
    </row>
    <row r="50" spans="3:3" ht="15.75" customHeight="1" x14ac:dyDescent="0.25"/>
    <row r="51" spans="3:3" ht="15.75" customHeight="1" x14ac:dyDescent="0.25"/>
    <row r="52" spans="3:3" ht="15.75" customHeight="1" x14ac:dyDescent="0.25"/>
    <row r="53" spans="3:3" ht="15.75" customHeight="1" x14ac:dyDescent="0.25"/>
    <row r="54" spans="3:3" ht="15.75" customHeight="1" x14ac:dyDescent="0.25"/>
    <row r="55" spans="3:3" ht="15.75" customHeight="1" x14ac:dyDescent="0.25"/>
    <row r="56" spans="3:3" ht="15.75" customHeight="1" x14ac:dyDescent="0.25"/>
    <row r="57" spans="3:3" ht="15.75" customHeight="1" x14ac:dyDescent="0.25"/>
    <row r="58" spans="3:3" ht="15.75" customHeight="1" x14ac:dyDescent="0.25"/>
    <row r="59" spans="3:3" ht="15.75" customHeight="1" x14ac:dyDescent="0.25"/>
    <row r="60" spans="3:3" ht="15.75" customHeight="1" x14ac:dyDescent="0.25"/>
    <row r="61" spans="3:3" ht="15.75" customHeight="1" x14ac:dyDescent="0.25"/>
    <row r="62" spans="3:3" ht="15.75" customHeight="1" x14ac:dyDescent="0.25"/>
    <row r="63" spans="3:3" ht="15.75" customHeight="1" x14ac:dyDescent="0.25"/>
    <row r="64" spans="3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B3:B4"/>
    <mergeCell ref="C3:C4"/>
    <mergeCell ref="D3:R3"/>
    <mergeCell ref="S3:S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Eisen</dc:creator>
  <cp:lastModifiedBy>Benjamín Cerón Reyes</cp:lastModifiedBy>
  <dcterms:created xsi:type="dcterms:W3CDTF">2015-06-05T18:19:34Z</dcterms:created>
  <dcterms:modified xsi:type="dcterms:W3CDTF">2025-11-17T17:13:09Z</dcterms:modified>
</cp:coreProperties>
</file>