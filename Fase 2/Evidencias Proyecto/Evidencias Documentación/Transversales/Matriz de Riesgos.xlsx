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sen\Desktop\"/>
    </mc:Choice>
  </mc:AlternateContent>
  <xr:revisionPtr revIDLastSave="0" documentId="8_{874C584C-2E11-4BF1-B0E2-AC9CF29FB40E}" xr6:coauthVersionLast="47" xr6:coauthVersionMax="47" xr10:uidLastSave="{00000000-0000-0000-0000-000000000000}"/>
  <bookViews>
    <workbookView xWindow="-120" yWindow="-120" windowWidth="29040" windowHeight="15840" xr2:uid="{4B66EA9F-653E-466C-B6E0-2A3D5CE6E60F}"/>
  </bookViews>
  <sheets>
    <sheet name="matriz_Riesgos" sheetId="3" r:id="rId1"/>
  </sheets>
  <definedNames>
    <definedName name="DatosExternos_2" localSheetId="0" hidden="1">matriz_Riesgos!$B$2:$U$48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K3" i="3"/>
  <c r="L3" i="3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0D3D24-12AD-489B-A0EC-015CCCFE7F8D}" keepAlive="1" name="Consulta - matriz_Riesgos (2)" description="Conexión a la consulta 'matriz_Riesgos (2)' en el libro." type="5" refreshedVersion="8" background="1" saveData="1">
    <dbPr connection="Provider=Microsoft.Mashup.OleDb.1;Data Source=$Workbook$;Location=&quot;matriz_Riesgos (2)&quot;;Extended Properties=&quot;&quot;" command="SELECT * FROM [matriz_Riesgos (2)]"/>
  </connection>
</connections>
</file>

<file path=xl/sharedStrings.xml><?xml version="1.0" encoding="utf-8"?>
<sst xmlns="http://schemas.openxmlformats.org/spreadsheetml/2006/main" count="710" uniqueCount="469">
  <si>
    <t>ID</t>
  </si>
  <si>
    <t>Riesgo / Oportunidad</t>
  </si>
  <si>
    <t>Descripción</t>
  </si>
  <si>
    <t>Categoría (Amenaza/Oportunidad)</t>
  </si>
  <si>
    <t>Fuente/Origen</t>
  </si>
  <si>
    <t>Disparadores (Triggers)</t>
  </si>
  <si>
    <t>Áreas de Impacto (Alcance, Tiempo, Costo, Calidad, Sostenibilidad, Seguridad, Reputación, Legal)</t>
  </si>
  <si>
    <t>Probabilidad (1-5)</t>
  </si>
  <si>
    <t>Impacto (1-5)</t>
  </si>
  <si>
    <t>Exposición (Probabilidad*Impacto)</t>
  </si>
  <si>
    <t>Nivel de Prioridad (Bajo/Medio/Alto/Crítico)</t>
  </si>
  <si>
    <t>Estrategia (Amenaza: Evitar/Mitigar/Transferir/Aceptar | Oportunidad: Explotar/Mejorar/Compartir/Aceptar)</t>
  </si>
  <si>
    <t>Plan de Respuesta (acciones)</t>
  </si>
  <si>
    <t>Propietario</t>
  </si>
  <si>
    <t>Estado (Abierto/En curso/Cerrado)</t>
  </si>
  <si>
    <t>Fecha objetivo</t>
  </si>
  <si>
    <t>Señales de advertencia (Early warnings)</t>
  </si>
  <si>
    <t>Plan de Contingencia / Reserva</t>
  </si>
  <si>
    <t>Riesgo Residual (comentario)</t>
  </si>
  <si>
    <t>Notas</t>
  </si>
  <si>
    <t>R-001</t>
  </si>
  <si>
    <t>Inestabilidad en conexión de sensores IoT</t>
  </si>
  <si>
    <t>Cortes o latencia alta impiden recibir datos en tiempo real desde equipos de medición.</t>
  </si>
  <si>
    <t>Amenaza</t>
  </si>
  <si>
    <t>Proveedor/Operador de red</t>
  </si>
  <si>
    <t>Pérdida de ping; desconexiones frecuentes; RSSI bajo</t>
  </si>
  <si>
    <t>Tiempo, Calidad, Confiabilidad operativa</t>
  </si>
  <si>
    <t/>
  </si>
  <si>
    <t>Mitigar</t>
  </si>
  <si>
    <t>Implementar reintentos, buffer en borde, QoS, monitoreo de conectividad y alerta temprana.</t>
  </si>
  <si>
    <t>Infra/Cloud (GCP)</t>
  </si>
  <si>
    <t>Abierto</t>
  </si>
  <si>
    <t>Aumento de paquetes perdidos; gaps en streaming</t>
  </si>
  <si>
    <t>Colas locales + reenvío diferido; ruta alterna 4G</t>
  </si>
  <si>
    <t>Medio con redundancia</t>
  </si>
  <si>
    <t>R-002</t>
  </si>
  <si>
    <t>Esquema de datos cambiante rompe validaciones</t>
  </si>
  <si>
    <t>Cambios en formato o campos de payload causan rechazos o registros incompletos.</t>
  </si>
  <si>
    <t>Proveedor de sensores/firmware</t>
  </si>
  <si>
    <t>Nueva versión de firmware; campo faltante</t>
  </si>
  <si>
    <t>Alcance, Calidad, Consistencia de los registros</t>
  </si>
  <si>
    <t>Versionar contratos (Schema Registry), validación por versión y pruebas de contrato (PACTs).</t>
  </si>
  <si>
    <t>Equipo de Datos</t>
  </si>
  <si>
    <t>Incremento de errores de parseo/validación</t>
  </si>
  <si>
    <t>Ruta de compatibilidad + mapeo temporal</t>
  </si>
  <si>
    <t>Bajo si hay versionado</t>
  </si>
  <si>
    <t>R-003</t>
  </si>
  <si>
    <t>Sobre-costo de servicios cloud por picos de streaming</t>
  </si>
  <si>
    <t>Escalamiento automático eleva costos por volumen inesperado.</t>
  </si>
  <si>
    <t>Cargas imprevistas/ataques</t>
  </si>
  <si>
    <t>Picos en Pub/Sub; ancho de banda inusual</t>
  </si>
  <si>
    <t>Costo, Uso eficiente de recursos</t>
  </si>
  <si>
    <t>Cuotas/alertas de gasto, escalamiento gradual, compresión y ventanas por lotes en Dataflow.</t>
  </si>
  <si>
    <t>Alertas de presupuesto; spend anómalo</t>
  </si>
  <si>
    <t>Límites duros de consumo; degradación controlada</t>
  </si>
  <si>
    <t>Medio</t>
  </si>
  <si>
    <t>R-004</t>
  </si>
  <si>
    <t>Falsas alertas por umbrales estáticos</t>
  </si>
  <si>
    <t>Umbrales fijos generan ruido en condiciones normales y fatiga de alertas.</t>
  </si>
  <si>
    <t>Configuración inicial de alertas</t>
  </si>
  <si>
    <t>Tasa alta de alertas sin incidente</t>
  </si>
  <si>
    <t>Calidad, Reputación, Tiempo</t>
  </si>
  <si>
    <t>Umbrales adaptativos, histeresis y periodos de calma; revisión por QA/PO.</t>
  </si>
  <si>
    <t>QA</t>
  </si>
  <si>
    <t>Tasa de falsos positivos &gt; 20%</t>
  </si>
  <si>
    <t>Silenciar métrica temporalmente</t>
  </si>
  <si>
    <t>Bajo-Medio</t>
  </si>
  <si>
    <t>R-005</t>
  </si>
  <si>
    <t>Vulnerabilidad en login de administrador</t>
  </si>
  <si>
    <t>Credenciales expuestas o políticas débiles comprometen acceso a reportes y exportaciones.</t>
  </si>
  <si>
    <t>Gestión de contraseñas débil</t>
  </si>
  <si>
    <t>Intentos de fuerza bruta; credenciales filtradas</t>
  </si>
  <si>
    <t>Seguridad, Legal, Reputación</t>
  </si>
  <si>
    <t>Evitar</t>
  </si>
  <si>
    <t>2FA, política de contraseñas, bloqueo por intentos, HTTPS estricto, secret rotation.</t>
  </si>
  <si>
    <t>Seguridad</t>
  </si>
  <si>
    <t>IPs maliciosas; intentos fallidos inusuales</t>
  </si>
  <si>
    <t>Revocar sesiones; rotar secretos; WAF</t>
  </si>
  <si>
    <t>Bajo</t>
  </si>
  <si>
    <t>R-006</t>
  </si>
  <si>
    <t>Disponibilidad &lt; 99% por fallas en Dataflow/PubSub</t>
  </si>
  <si>
    <t>Caídas de servicios gestionados afectan la continuidad del streaming.</t>
  </si>
  <si>
    <t>Dependencia de servicios PaaS</t>
  </si>
  <si>
    <t>Incidente regional; mantenimiento no programado</t>
  </si>
  <si>
    <t>Alta disponibilidad (99%), Confiabilidad operativa, Resiliencia</t>
  </si>
  <si>
    <t>Transferir</t>
  </si>
  <si>
    <t>Diseño multi-zona; autoscaling y reintentos; SLA del proveedor.</t>
  </si>
  <si>
    <t>Errores 5xx en cadena; lag creciente</t>
  </si>
  <si>
    <t>Reproceso desde almacenamiento; failover de región</t>
  </si>
  <si>
    <t>R-007</t>
  </si>
  <si>
    <t>Calidad de datos insuficiente para clustering</t>
  </si>
  <si>
    <t>Datos con outliers o vacíos degradan la segmentación y decisiones.</t>
  </si>
  <si>
    <t>Sensores defectuosos/ruido</t>
  </si>
  <si>
    <t>Aumento de NaN; desviación anómala</t>
  </si>
  <si>
    <t>Calidad, Alcance</t>
  </si>
  <si>
    <t>Validación estadística, imputación, detección de outliers y etiquetado de calidad.</t>
  </si>
  <si>
    <t>Especialista ML</t>
  </si>
  <si>
    <t>% de missing &gt; umbral; drift en media/varianza</t>
  </si>
  <si>
    <t>Entrenamiento con subset confiable</t>
  </si>
  <si>
    <t>R-008</t>
  </si>
  <si>
    <t>Retraso en despliegue de dashboards</t>
  </si>
  <si>
    <t>Bloqueos en integración con librerías de visualización afectan entregables del Sprint 1.</t>
  </si>
  <si>
    <t>Dependencias front/backend</t>
  </si>
  <si>
    <t>Errores de build; incompatibilidades</t>
  </si>
  <si>
    <t>Tiempo, Alcance</t>
  </si>
  <si>
    <t>Aceptar</t>
  </si>
  <si>
    <t>Planificar buffers, feature flags y demo de MVP con gráficos básicos.</t>
  </si>
  <si>
    <t>Frontend (React)</t>
  </si>
  <si>
    <t>Aumento de issues abiertas; PRs atascadas</t>
  </si>
  <si>
    <t>Reducir alcance a visualizaciones esenciales</t>
  </si>
  <si>
    <t>R-009</t>
  </si>
  <si>
    <t>Fuga de datos por configuración de bucket</t>
  </si>
  <si>
    <t>Permisos mal configurados exponen datos ambientales y logs.</t>
  </si>
  <si>
    <t>Políticas IAM incorrectas</t>
  </si>
  <si>
    <t>Archivos accesibles públicamente; auditoría falla</t>
  </si>
  <si>
    <t>Principio de mínimo privilegio, VPC-SC, KMS, auditoría continua.</t>
  </si>
  <si>
    <t>Access logs con ACL públicas</t>
  </si>
  <si>
    <t>Bloquear acceso; rotar claves; notificar</t>
  </si>
  <si>
    <t>R-010</t>
  </si>
  <si>
    <t>Incompatibilidad multiplataforma en UI</t>
  </si>
  <si>
    <t>La interfaz no rinde igual en distintos SO/navegadores.</t>
  </si>
  <si>
    <t>Diferencias de motor/viewport</t>
  </si>
  <si>
    <t>Errores específicos en Safari/Edge; CSS quebrado</t>
  </si>
  <si>
    <t>Compatibilidad de sistemas, Interfaz intuitiva</t>
  </si>
  <si>
    <t>Testing cross-browser, diseño responsivo, CI con matrices de navegador.</t>
  </si>
  <si>
    <t>Reporte de fallas por tipo de navegador</t>
  </si>
  <si>
    <t>Polyfills; desactivar features no críticas</t>
  </si>
  <si>
    <t>R-011</t>
  </si>
  <si>
    <t>Incumplir tiempo de respuesta &lt;3s en consultas</t>
  </si>
  <si>
    <t>Consultas a históricos o dashboards superan SLA de respuesta.</t>
  </si>
  <si>
    <t>Consultas no optimizadas/indices</t>
  </si>
  <si>
    <t>Tiempo medio de respuesta crece</t>
  </si>
  <si>
    <t>Tiempo de respuesta (&lt;3s), Uso eficiente de recursos</t>
  </si>
  <si>
    <t>Indexado, caché, paginación y pre-agragados; profiling.</t>
  </si>
  <si>
    <t>Backend (Node.js)</t>
  </si>
  <si>
    <t>P95&gt;3s; aumento de timeouts</t>
  </si>
  <si>
    <t>Desactivar filtros pesados temporalmente</t>
  </si>
  <si>
    <t>Medio-bajo</t>
  </si>
  <si>
    <t>R-012</t>
  </si>
  <si>
    <t>Consistencia &lt;99% en registros válidos</t>
  </si>
  <si>
    <t>Pérdida o duplicidad en flujos por fallas de idempotencia.</t>
  </si>
  <si>
    <t>Reintentos no idempotentes</t>
  </si>
  <si>
    <t>Conteos inconsistentes entre topics y BD</t>
  </si>
  <si>
    <t>Consistencia de los registros, Confiabilidad operativa</t>
  </si>
  <si>
    <t>Claves idempotentes, deduplicación, transacciones donde aplique.</t>
  </si>
  <si>
    <t>Diferencias en checksums/contajes</t>
  </si>
  <si>
    <t>Reconciliación periódica</t>
  </si>
  <si>
    <t>R-013</t>
  </si>
  <si>
    <t>Rechazo de adopción por usabilidad</t>
  </si>
  <si>
    <t>Usuarios no entienden dashboards o navegación.</t>
  </si>
  <si>
    <t>UX insuficiente/formación</t>
  </si>
  <si>
    <t>Baja interacción; tasa de rebote alta</t>
  </si>
  <si>
    <t>Interfaz intuitiva, Cumplimiento de objetivos, Reputación</t>
  </si>
  <si>
    <t>Pruebas con usuarios, tooltips, guía dentro de la app y feedback loop.</t>
  </si>
  <si>
    <t>Product Owner</t>
  </si>
  <si>
    <t>CA de tareas &lt;70% en tests de usabilidad</t>
  </si>
  <si>
    <t>Tutorial interactivo</t>
  </si>
  <si>
    <t>R-014</t>
  </si>
  <si>
    <t>Interoperabilidad compleja con sistemas externos</t>
  </si>
  <si>
    <t>Integraciones municipales/ambientales requieren transformaciones no previstas.</t>
  </si>
  <si>
    <t>API externas heterogéneas</t>
  </si>
  <si>
    <t>Errores al consumir APIs; formatos variados</t>
  </si>
  <si>
    <t>Alcance, Tiempo, Interoperabilidad</t>
  </si>
  <si>
    <t>Definir contratos, adaptadores y backlog técnico por fases.</t>
  </si>
  <si>
    <t>Aumento de mapeos ad-hoc</t>
  </si>
  <si>
    <t>Gateway de integración temporal</t>
  </si>
  <si>
    <t>R-015</t>
  </si>
  <si>
    <t>Dependencia de un solo proveedor cloud</t>
  </si>
  <si>
    <t>Portabilidad limitada afecta objetivos y negociación.</t>
  </si>
  <si>
    <t>Servicios gestionados específicos</t>
  </si>
  <si>
    <t>Necesidad de migración; vendor lock-in</t>
  </si>
  <si>
    <t>Portabilidad, Costos</t>
  </si>
  <si>
    <t>Abstracción por capas, contenedores y Terraform multi-cloud donde sea viable.</t>
  </si>
  <si>
    <t>Servicios no equivalentes en otros proveedores</t>
  </si>
  <si>
    <t>Plan de migración parcial</t>
  </si>
  <si>
    <t>R-016</t>
  </si>
  <si>
    <t>Incumplimiento de privacidad/datos personales (DPIA pendiente)</t>
  </si>
  <si>
    <t>Riesgo de tratamiento sin evaluación de impacto y bases legales claras.</t>
  </si>
  <si>
    <t>Compliance/Legal</t>
  </si>
  <si>
    <t>Nuevos datos sensibles; auditoría interna</t>
  </si>
  <si>
    <t>Legal, Reputación, Seguridad</t>
  </si>
  <si>
    <t>Realizar DPIA, registros de tratamiento, anonimización/pseudonimización.</t>
  </si>
  <si>
    <t>Observaciones de auditoría</t>
  </si>
  <si>
    <t>Congelar nuevas fuentes hasta cerrar hallazgos</t>
  </si>
  <si>
    <t>R-017</t>
  </si>
  <si>
    <t>Riesgo de persona clave</t>
  </si>
  <si>
    <t>Dependencia de 1-2 perfiles críticos (ETL/ML) afecta el delivery.</t>
  </si>
  <si>
    <t>Recursos</t>
  </si>
  <si>
    <t>Vacaciones; rotación; sobrecarga</t>
  </si>
  <si>
    <t>Tiempo, Alcance, Confiabilidad operativa</t>
  </si>
  <si>
    <t>Documentación viva, pairing, backups y rotación de guardias.</t>
  </si>
  <si>
    <t>PO</t>
  </si>
  <si>
    <t>Cuellos de botella en PRs</t>
  </si>
  <si>
    <t>Contratista de respaldo</t>
  </si>
  <si>
    <t>R-018</t>
  </si>
  <si>
    <t>Cobertura de pruebas insuficiente</t>
  </si>
  <si>
    <t>Bugs en productivo por tests unitarios/e2e bajos.</t>
  </si>
  <si>
    <t>Calidad</t>
  </si>
  <si>
    <t>Bajada de coverage &lt;70%</t>
  </si>
  <si>
    <t>Objetivo ≥85% unit; suites e2e críticas; CI obligatorio.</t>
  </si>
  <si>
    <t>Fallas repetidas en regresión</t>
  </si>
  <si>
    <t>Feature flags + rollback</t>
  </si>
  <si>
    <t>R-019</t>
  </si>
  <si>
    <t>Backup/restore no validado</t>
  </si>
  <si>
    <t>Recuperación de desastres no probada en condiciones reales.</t>
  </si>
  <si>
    <t>Operación</t>
  </si>
  <si>
    <t>Cambios de esquema; snapshots fallidos</t>
  </si>
  <si>
    <t>Resiliencia, Disponibilidad</t>
  </si>
  <si>
    <t>Pruebas de restore trimestrales; runbooks; RPO/RTO definidos.</t>
  </si>
  <si>
    <t>Alertas de backup fallido</t>
  </si>
  <si>
    <t>Replica cruzada y verificación</t>
  </si>
  <si>
    <t>R-020</t>
  </si>
  <si>
    <t>Tipo de cambio encarece hardware IoT</t>
  </si>
  <si>
    <t>Variación cambiaria sube el costo de sensores/importaciones.</t>
  </si>
  <si>
    <t>Finanzas</t>
  </si>
  <si>
    <t>Alza sostenida del dólar</t>
  </si>
  <si>
    <t>Costo, Sostenibilidad</t>
  </si>
  <si>
    <t>Coberturas/hedging; comprar por tramos; proveedores locales.</t>
  </si>
  <si>
    <t>Tendencia &gt;5% mensual</t>
  </si>
  <si>
    <t>Plan B con alternativas locales</t>
  </si>
  <si>
    <t>R-021</t>
  </si>
  <si>
    <t>Límites de rate limit en APIs externas</t>
  </si>
  <si>
    <t>Cortes o degradación por exceder límites de consumo.</t>
  </si>
  <si>
    <t>Integraciones</t>
  </si>
  <si>
    <t>Errores 429/Quota</t>
  </si>
  <si>
    <t>Tiempo, Interoperabilidad</t>
  </si>
  <si>
    <t>Caching; backoff exponencial; cuotas por cliente; colas.</t>
  </si>
  <si>
    <t>Picos de solicitudes</t>
  </si>
  <si>
    <t>Acordar aumento de cuota</t>
  </si>
  <si>
    <t>R-022</t>
  </si>
  <si>
    <t>Cambios regulatorios ambientales locales</t>
  </si>
  <si>
    <t>Nuevos requisitos de reporte y trazabilidad.</t>
  </si>
  <si>
    <t>Regulador</t>
  </si>
  <si>
    <t>Publicación de norma</t>
  </si>
  <si>
    <t>Legal, Alcance, Tiempo</t>
  </si>
  <si>
    <t>Monitoreo normativo; adaptar esquema y exportes.</t>
  </si>
  <si>
    <t>Borradores de norma</t>
  </si>
  <si>
    <t>Plan de actualización por fases</t>
  </si>
  <si>
    <t>O-001</t>
  </si>
  <si>
    <t>Acuerdo con institución académica para datos abiertos</t>
  </si>
  <si>
    <t>Integrar datasets climáticos públicos para enriquecer análisis.</t>
  </si>
  <si>
    <t>Oportunidad</t>
  </si>
  <si>
    <t>Universidades/Ministerios</t>
  </si>
  <si>
    <t>Convenios; disponibilidad de APIs</t>
  </si>
  <si>
    <t>Alcance, Calidad, Sostenibilidad</t>
  </si>
  <si>
    <t>Compartir</t>
  </si>
  <si>
    <t>Firmar convenio, normalizar fuentes y atribución.</t>
  </si>
  <si>
    <t>En curso</t>
  </si>
  <si>
    <t>Contacto positivo con contraparte</t>
  </si>
  <si>
    <t>Usar datasets alternativos</t>
  </si>
  <si>
    <t>Aporta valor a la comunidad</t>
  </si>
  <si>
    <t>O-002</t>
  </si>
  <si>
    <t>Optimización de costos con serverless y almacenamiento frío</t>
  </si>
  <si>
    <t>Reducir gasto manteniendo rendimiento objetivo.</t>
  </si>
  <si>
    <t>Arquitectura/FinOps</t>
  </si>
  <si>
    <t>Revisión de facturas; baja consulta a históricos</t>
  </si>
  <si>
    <t>Mejorar</t>
  </si>
  <si>
    <t>Mover históricos a frío; jobs bajo demanda; políticas de retención.</t>
  </si>
  <si>
    <t>Porcentaje alto de datos inactivos</t>
  </si>
  <si>
    <t>Tier intermedio (Nearline)</t>
  </si>
  <si>
    <t>O-003</t>
  </si>
  <si>
    <t>Explotar clustering para detección temprana de eventos</t>
  </si>
  <si>
    <t>Mejorar alertas con patrones no supervisados.</t>
  </si>
  <si>
    <t>Modelado ML</t>
  </si>
  <si>
    <t>Separación clara de clústeres; baja tasa de falsos negativos</t>
  </si>
  <si>
    <t>Calidad, Confiabilidad operativa</t>
  </si>
  <si>
    <t>Explotar</t>
  </si>
  <si>
    <t>Integrar scoring del cluster en pipeline de alertas; monitoreo de drift.</t>
  </si>
  <si>
    <t>Clusters estables por &gt;2 semanas</t>
  </si>
  <si>
    <t>Fallback a umbrales</t>
  </si>
  <si>
    <t>O-004</t>
  </si>
  <si>
    <t>Alianzas con proveedores de sensores para pilotos</t>
  </si>
  <si>
    <t>Acceso a hardware con mejor precisión a menor costo.</t>
  </si>
  <si>
    <t>Partners IoT</t>
  </si>
  <si>
    <t>Programa de partner; pruebas exitosas</t>
  </si>
  <si>
    <t>Calidad, Costo, Sostenibilidad</t>
  </si>
  <si>
    <t>Negociar piloto y roadmap de integración.</t>
  </si>
  <si>
    <t>O-005</t>
  </si>
  <si>
    <t>Visibilidad pública mediante dashboards educativos</t>
  </si>
  <si>
    <t>Incrementar adopción y apoyo institucional con visualizaciones abiertas.</t>
  </si>
  <si>
    <t>Estrategia de comunicación</t>
  </si>
  <si>
    <t>Alto tráfico orgánico; interés de prensa</t>
  </si>
  <si>
    <t>Reputación, Cumplimiento de objetivos</t>
  </si>
  <si>
    <t>Publicar vista pública con métricas no sensibles y explicadores.</t>
  </si>
  <si>
    <t>O-006</t>
  </si>
  <si>
    <t>Mejora de experiencia con interactividad avanzada</t>
  </si>
  <si>
    <t>Filtros, tooltips y resalte de outliers aumentan entendimiento.</t>
  </si>
  <si>
    <t>Roadmap UI</t>
  </si>
  <si>
    <t>Feedback positivo en pruebas</t>
  </si>
  <si>
    <t>Interfaz intuitiva, Compatibilidad</t>
  </si>
  <si>
    <t>Diseñar interacciones clave; pruebas A/B.</t>
  </si>
  <si>
    <t>O-007</t>
  </si>
  <si>
    <t>Grants/financiamiento por objetivos de sostenibilidad</t>
  </si>
  <si>
    <t>Fondos disponibles para proyectos ambientales con impacto social.</t>
  </si>
  <si>
    <t>Convocatorias públicas/privadas</t>
  </si>
  <si>
    <t>Apertura de postulaciones</t>
  </si>
  <si>
    <t>Costo, Sostenibilidad, Reputación</t>
  </si>
  <si>
    <t>Identificar convocatorias y preparar propuesta estándar.</t>
  </si>
  <si>
    <t>O-008</t>
  </si>
  <si>
    <t>Automatizar QA de datos con reglas declarativas</t>
  </si>
  <si>
    <t>Reducir intervención manual y errores en validaciones.</t>
  </si>
  <si>
    <t>Herramientas tipo Great Expectations</t>
  </si>
  <si>
    <t>Cobertura de reglas aumenta</t>
  </si>
  <si>
    <t>Calidad, Consistencia de registros</t>
  </si>
  <si>
    <t>Catálogo de checks, dashboards de calidad y alerts.</t>
  </si>
  <si>
    <t>O-009</t>
  </si>
  <si>
    <t>Portabilidad con contenedores y Terraform</t>
  </si>
  <si>
    <t>Facilita multi-cloud y despliegues repetibles.</t>
  </si>
  <si>
    <t>Infra como código</t>
  </si>
  <si>
    <t>Pipelines CI/CD estables</t>
  </si>
  <si>
    <t>Portabilidad, Confiabilidad operativa</t>
  </si>
  <si>
    <t>Estandarizar IaC y módulos reutilizables.</t>
  </si>
  <si>
    <t>O-010</t>
  </si>
  <si>
    <t>Telemetría de uso para priorizar backlog</t>
  </si>
  <si>
    <t>Métricas de visitas y clics orientan decisiones de producto.</t>
  </si>
  <si>
    <t>Analytics</t>
  </si>
  <si>
    <t>Eventos de uso consistentes</t>
  </si>
  <si>
    <t>Cumplimiento de objetivos</t>
  </si>
  <si>
    <t>Instrumentar eventos; panel de producto.</t>
  </si>
  <si>
    <t>O-011</t>
  </si>
  <si>
    <t>Mantenimiento predictivo con ML</t>
  </si>
  <si>
    <t>Reducir fallas de sensores al anticipar degradación.</t>
  </si>
  <si>
    <t>IoT/ML</t>
  </si>
  <si>
    <t>Patrones de fallas repetidos</t>
  </si>
  <si>
    <t>Costo, Confiabilidad operativa</t>
  </si>
  <si>
    <t>Modelos de supervivencia; alertas de reemplazo.</t>
  </si>
  <si>
    <t>O-012</t>
  </si>
  <si>
    <t>Automatización de despliegues (GitOps)</t>
  </si>
  <si>
    <t>Menos errores humanos y time-to-market menor.</t>
  </si>
  <si>
    <t>DevOps</t>
  </si>
  <si>
    <t>PRs frecuentes; pipelines estables</t>
  </si>
  <si>
    <t>Tiempo, Confiabilidad operativa</t>
  </si>
  <si>
    <t>ArgoCD/Tekton, revisiones y rollbacks rápidos.</t>
  </si>
  <si>
    <t>O-013</t>
  </si>
  <si>
    <t>Contribuciones open-source</t>
  </si>
  <si>
    <t>Reputación y feedback de la comunidad técnica.</t>
  </si>
  <si>
    <t>Comunidad</t>
  </si>
  <si>
    <t>Publicación de componentes reutilizables</t>
  </si>
  <si>
    <t>Reputación, Calidad</t>
  </si>
  <si>
    <t>Liberar librerías no sensibles; guía de contribución.</t>
  </si>
  <si>
    <t>O-014</t>
  </si>
  <si>
    <t>Acuerdos con municipalidades para despliegue piloto</t>
  </si>
  <si>
    <t>Facilita permisos y acceso a ubicaciones estratégicas.</t>
  </si>
  <si>
    <t>Stakeholders</t>
  </si>
  <si>
    <t>Interés institucional</t>
  </si>
  <si>
    <t>Alcance, Sostenibilidad, Reputación</t>
  </si>
  <si>
    <t>Memorandos de entendimiento; plan de instalación.</t>
  </si>
  <si>
    <t>R-023</t>
  </si>
  <si>
    <t>Drift de datos por cambios estacionales</t>
  </si>
  <si>
    <t>Patrones de medición varían por clima/temporada y rompen supuestos de modelos.</t>
  </si>
  <si>
    <t>Analítica/Estacionalidad</t>
  </si>
  <si>
    <t>Desviaciones sostenidas vs. baseline; alertas de drift</t>
  </si>
  <si>
    <t>Monitoreo de drift, recalibración periódica y ventanas móviles.</t>
  </si>
  <si>
    <t>KS-test/PSI por encima de umbral</t>
  </si>
  <si>
    <t>Congelar versiones de modelos; fallback a umbrales</t>
  </si>
  <si>
    <t>R-024</t>
  </si>
  <si>
    <t>Desalineación de timestamps (NTP)</t>
  </si>
  <si>
    <t>Relojes de dispositivos/no NTP generan marcas de tiempo erróneas y orden incorrecto.</t>
  </si>
  <si>
    <t>Dispositivos/NTP</t>
  </si>
  <si>
    <t>Offset de reloj &gt;±2s; paquetes fuera de orden</t>
  </si>
  <si>
    <t>Aumento de eventos tardíos</t>
  </si>
  <si>
    <t>Reprocesar con watermark más holgado</t>
  </si>
  <si>
    <t>R-025</t>
  </si>
  <si>
    <t>Cuellos de botella en base de datos</t>
  </si>
  <si>
    <t>Lecturas/consultas pesadas saturan índices y afectan SLAs.</t>
  </si>
  <si>
    <t>BD/Índices</t>
  </si>
  <si>
    <t>Picos en CPU/IO; locks prolongados</t>
  </si>
  <si>
    <t>P95 de consultas &gt; SLA</t>
  </si>
  <si>
    <t>R-026</t>
  </si>
  <si>
    <t>Errores de internacionalización/localización</t>
  </si>
  <si>
    <t>Formatos de número/fecha causan interpretaciones erróneas en UI y ETL.</t>
  </si>
  <si>
    <t>Frontend/ETL</t>
  </si>
  <si>
    <t>Inconsistencias de separador decimal; zonas horarias</t>
  </si>
  <si>
    <t>Interfaz intuitiva, Calidad</t>
  </si>
  <si>
    <t>Normalizar locales (ISO), pruebas con culturas y TZ en CI.</t>
  </si>
  <si>
    <t>Incidentes por parsing en logs</t>
  </si>
  <si>
    <t>Forzar ISO-8601 y decimal punto en capa de datos</t>
  </si>
  <si>
    <t>R-027</t>
  </si>
  <si>
    <t>Permisos excesivos en IAM</t>
  </si>
  <si>
    <t>Roles demasiado amplios exponen superficies de ataque.</t>
  </si>
  <si>
    <t>Seguridad/IAM</t>
  </si>
  <si>
    <t>Detectores de privilegios desmedidos; findings de auditoría</t>
  </si>
  <si>
    <t>RBAC/ABAC mínimo privilegio, revisiones trimestrales y rotación de claves.</t>
  </si>
  <si>
    <t>Accesos a buckets/secretos no justificados</t>
  </si>
  <si>
    <t>Bloqueo automático con políticas guardias</t>
  </si>
  <si>
    <t>R-028</t>
  </si>
  <si>
    <t>Retrasos por licencias/proveedores</t>
  </si>
  <si>
    <t>Demoras en activación de licencias o contratos afectan hitos.</t>
  </si>
  <si>
    <t>Procurement</t>
  </si>
  <si>
    <t>Ticket de licenciamiento sin resolver; SLA vencido</t>
  </si>
  <si>
    <t>Tiempo, Alcance, Costo</t>
  </si>
  <si>
    <t>Cláusulas de penalización, proveedores alternos y buffer contractual.</t>
  </si>
  <si>
    <t>Hitos bloqueados por tercero</t>
  </si>
  <si>
    <t>Plan B con herramientas OSS</t>
  </si>
  <si>
    <t>O-015</t>
  </si>
  <si>
    <t>Feature store para reutilizar señales</t>
  </si>
  <si>
    <t>Centralizar features reduce duplicidad y acelera experimentación.</t>
  </si>
  <si>
    <t>ML/Plataforma</t>
  </si>
  <si>
    <t>Alto intercambio de features; repetición de ingeniería</t>
  </si>
  <si>
    <t>Tiempo, Calidad</t>
  </si>
  <si>
    <t>Implementar feature store y gobernanza de catálogo.</t>
  </si>
  <si>
    <t>O-016</t>
  </si>
  <si>
    <t>Compresión/filtrado en el borde</t>
  </si>
  <si>
    <t>Menor ancho de banda y costos manteniendo fidelidad útil.</t>
  </si>
  <si>
    <t>IoT/Edge</t>
  </si>
  <si>
    <t>Ancho de banda limitado; datos redundantes</t>
  </si>
  <si>
    <t>Compresión adaptativa y downsampling en dispositivos.</t>
  </si>
  <si>
    <t>Especialista en Machine learning (BD)</t>
  </si>
  <si>
    <t>Forzar NTP, sincronización al conectar, corrección de latencia.</t>
  </si>
  <si>
    <t>Development Team</t>
  </si>
  <si>
    <t>Indexación adecuada, particionamiento/sharding y caché de consultas.</t>
  </si>
  <si>
    <t>Réplica de lectura y límites por query</t>
  </si>
  <si>
    <t>Scrum Master</t>
  </si>
  <si>
    <t>R-029</t>
  </si>
  <si>
    <t>Corte de energía en sitios de sensores</t>
  </si>
  <si>
    <t>Interrupciones eléctricas dejan sin transmisión a los equipos IoT.</t>
  </si>
  <si>
    <t>Operación/Infra</t>
  </si>
  <si>
    <t>Caídas de voltaje; cortes programados/no programados</t>
  </si>
  <si>
    <t>Disponibilidad, Calidad</t>
  </si>
  <si>
    <t>UPS/baterías, detección de corte y buffer en borde; verificación post-restablecimiento.</t>
  </si>
  <si>
    <t>Alertas de energía; gaps simultáneos en múltiples dispositivos</t>
  </si>
  <si>
    <t>Reenvío diferido desde buffer; rutas móviles</t>
  </si>
  <si>
    <t>R-030</t>
  </si>
  <si>
    <t>Caducidad de certificados TLS</t>
  </si>
  <si>
    <t>Expiración de certificados causa bloqueos de API/ingesta y riesgos de seguridad.</t>
  </si>
  <si>
    <t>Seguridad/PKI</t>
  </si>
  <si>
    <t>Vencimiento &lt;30 días; fallas de handshake TLS</t>
  </si>
  <si>
    <t>Seguridad, Disponibilidad, Reputación</t>
  </si>
  <si>
    <t>Renovación automática (ACME), rotación y alertas de expiración; inventario de certificados.</t>
  </si>
  <si>
    <t>Mensajes de expiración en monitoreo</t>
  </si>
  <si>
    <t>Desactivar endpoints no críticos; fallback temporal interno</t>
  </si>
  <si>
    <t>Medio-bajo por dependencia externa</t>
  </si>
  <si>
    <t>Medio-bajo (reputación)</t>
  </si>
  <si>
    <t>Medio (incertidumbre de adjudicación)</t>
  </si>
  <si>
    <t>Medio-bajo (complejidad de portabilidad)</t>
  </si>
  <si>
    <t>Medio (riesgo operacional si el modelo se degrada)</t>
  </si>
  <si>
    <t>Medio (riesgo político/social)</t>
  </si>
  <si>
    <t xml:space="preserve"> </t>
  </si>
  <si>
    <t>Revisar anonimización antes de publicar</t>
  </si>
  <si>
    <t>Mantener calendario de convocatorias</t>
  </si>
  <si>
    <t>Cobertura objetivo ≥85% datasets críticos</t>
  </si>
  <si>
    <t>Cumplir privacidad/consentimiento</t>
  </si>
  <si>
    <t>Usar MIT/Apache-2.0</t>
  </si>
  <si>
    <t>Respuesta lenta del partner; fallas en piloto; costo por sensor alto</t>
  </si>
  <si>
    <t>Picos de tráfico; feedback negativo; más tickets</t>
  </si>
  <si>
    <t>Baja conversión A/B; errores JS; render P95 alto</t>
  </si>
  <si>
    <t>Cierre de convocatoria cerca; requisitos cambian; baja pre-nota</t>
  </si>
  <si>
    <t>Sube % reglas falladas; más revisión manual; incidentes repetidos</t>
  </si>
  <si>
    <t>Drift en IaC; fallas multi-cloud; despliegues lentos</t>
  </si>
  <si>
    <t>Eventos de uso faltantes; discrepancias analytics; alto drop</t>
  </si>
  <si>
    <t>Más fallas; AUC/recall cae; data drift</t>
  </si>
  <si>
    <t>Pipelines fallan; rollouts lentos; permisos GitOps confusos</t>
  </si>
  <si>
    <t>Alertas de licencia; PII detectada; baja adopción</t>
  </si>
  <si>
    <t>Cambio de administración; permisos demorados; objeciones comunidad</t>
  </si>
  <si>
    <t>Features duplicadas; lectura lenta; gap train/serving</t>
  </si>
  <si>
    <t>Precisión baja por compresión; compresión fuera objetivo; CPU edge alta</t>
  </si>
  <si>
    <t>Proveedor alterno; extender piloto; exigir specs abiertas</t>
  </si>
  <si>
    <t>CDN y caché; rate limiting; moderar/ocultar métricas sensibles</t>
  </si>
  <si>
    <t>Rollback con flags; lazy loading; simplificar UI</t>
  </si>
  <si>
    <t>Propuesta base; postular a varios fondos; sumar alianzas</t>
  </si>
  <si>
    <t>Apagar reglas ruidosas; reforzar QA; hardening prioritario</t>
  </si>
  <si>
    <t>Congelar versiones; pipeline paralelo; módulos Terraform</t>
  </si>
  <si>
    <t>Fallback a logs; muestreo controlado; depurar eventos</t>
  </si>
  <si>
    <t>Fallback a umbrales; mantención preventiva; reentrenar</t>
  </si>
  <si>
    <t>Plan manual; congelar cambios; runbooks rollback/forward</t>
  </si>
  <si>
    <t>Revisión legal; limpieza repos; guía de contribución</t>
  </si>
  <si>
    <t>Cartas compromiso; pilotos indoor; plan de comunicación</t>
  </si>
  <si>
    <t>Caches materializadas; SLAs y governance; rollback</t>
  </si>
  <si>
    <t>Ajustar códecs/tasa; bypass señales críticas; escalar muestreo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</si>
</sst>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AF3E9730-75F7-4210-941C-B5CC9519BA7D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Riesgo / Oportunidad" tableColumnId="2"/>
      <queryTableField id="3" name="Descripción" tableColumnId="3"/>
      <queryTableField id="4" name="Categoría (Amenaza/Oportunidad)" tableColumnId="4"/>
      <queryTableField id="5" name="Fuente/Origen" tableColumnId="5"/>
      <queryTableField id="6" name="Disparadores (Triggers)" tableColumnId="6"/>
      <queryTableField id="7" name="Áreas de Impacto (Alcance, Tiempo, Costo, Calidad, Sostenibilidad, Seguridad, Reputación, Legal)" tableColumnId="7"/>
      <queryTableField id="8" name="Probabilidad (1-5)" tableColumnId="8"/>
      <queryTableField id="9" name="Impacto (1-5)" tableColumnId="9"/>
      <queryTableField id="10" name="Exposición (Probabilidad*Impacto)" tableColumnId="10"/>
      <queryTableField id="11" name="Nivel de Prioridad (Bajo/Medio/Alto/Crítico)" tableColumnId="11"/>
      <queryTableField id="12" name="Estrategia (Amenaza: Evitar/Mitigar/Transferir/Aceptar | Oportunidad: Explotar/Mejorar/Compartir/Aceptar)" tableColumnId="12"/>
      <queryTableField id="13" name="Plan de Respuesta (acciones)" tableColumnId="13"/>
      <queryTableField id="14" name="Propietario" tableColumnId="14"/>
      <queryTableField id="15" name="Estado (Abierto/En curso/Cerrado)" tableColumnId="15"/>
      <queryTableField id="16" name="Fecha objetivo" tableColumnId="16"/>
      <queryTableField id="17" name="Señales de advertencia (Early warnings)" tableColumnId="17"/>
      <queryTableField id="18" name="Plan de Contingencia / Reserva" tableColumnId="18"/>
      <queryTableField id="19" name="Riesgo Residual (comentario)" tableColumnId="19"/>
      <queryTableField id="20" name="Nota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0254C2-F0EA-4068-AAC9-E6949654DE3E}" name="matriz_Riesgos__2" displayName="matriz_Riesgos__2" ref="B2:U48" tableType="queryTable" totalsRowShown="0">
  <autoFilter ref="B2:U48" xr:uid="{550254C2-F0EA-4068-AAC9-E6949654DE3E}"/>
  <tableColumns count="20">
    <tableColumn id="1" xr3:uid="{ECEFDB57-2055-4FEB-985B-B4CDA23C2706}" uniqueName="1" name="ID" queryTableFieldId="1" dataDxfId="16"/>
    <tableColumn id="2" xr3:uid="{6E1D4547-328C-4590-AC00-8669805CB107}" uniqueName="2" name="Riesgo / Oportunidad" queryTableFieldId="2" dataDxfId="15"/>
    <tableColumn id="3" xr3:uid="{D7F75596-6557-44D3-8A9F-E58E2BA9D1C3}" uniqueName="3" name="Descripción" queryTableFieldId="3" dataDxfId="14"/>
    <tableColumn id="4" xr3:uid="{B66321EC-E0F7-4576-980A-67E0FFA2CE0A}" uniqueName="4" name="Categoría (Amenaza/Oportunidad)" queryTableFieldId="4" dataDxfId="13"/>
    <tableColumn id="5" xr3:uid="{5E093CAC-2BB5-4046-9DDD-91BC39D3E836}" uniqueName="5" name="Fuente/Origen" queryTableFieldId="5" dataDxfId="12"/>
    <tableColumn id="6" xr3:uid="{3C628E01-4461-4506-B3F6-E838A7B06A99}" uniqueName="6" name="Disparadores (Triggers)" queryTableFieldId="6" dataDxfId="11"/>
    <tableColumn id="7" xr3:uid="{76CD66FC-4173-4967-A353-4971A8110B85}" uniqueName="7" name="Áreas de Impacto (Alcance, Tiempo, Costo, Calidad, Sostenibilidad, Seguridad, Reputación, Legal)" queryTableFieldId="7" dataDxfId="10"/>
    <tableColumn id="8" xr3:uid="{1227D4A8-2519-4AD8-80F3-8B7617E0D21E}" uniqueName="8" name="Probabilidad (1-5)" queryTableFieldId="8"/>
    <tableColumn id="9" xr3:uid="{9F0DD749-E597-4E1F-99A1-18449D5EDE5D}" uniqueName="9" name="Impacto (1-5)" queryTableFieldId="9"/>
    <tableColumn id="10" xr3:uid="{49F39AB3-B9AC-44DE-B145-F406E02DF852}" uniqueName="10" name="Exposición (Probabilidad*Impacto)" queryTableFieldId="10"/>
    <tableColumn id="11" xr3:uid="{FABF306D-E96B-4E03-8291-C9847E3EA0D7}" uniqueName="11" name="Nivel de Prioridad (Bajo/Medio/Alto/Crítico)" queryTableFieldId="11" dataDxfId="9"/>
    <tableColumn id="12" xr3:uid="{0A2F4323-94D5-422E-89D0-C7F46808C267}" uniqueName="12" name="Estrategia (Amenaza: Evitar/Mitigar/Transferir/Aceptar | Oportunidad: Explotar/Mejorar/Compartir/Aceptar)" queryTableFieldId="12" dataDxfId="8"/>
    <tableColumn id="13" xr3:uid="{22B61F9E-5473-4583-A187-9438ADDE5496}" uniqueName="13" name="Plan de Respuesta (acciones)" queryTableFieldId="13" dataDxfId="7"/>
    <tableColumn id="14" xr3:uid="{968835F4-BC40-4E2F-835F-1764E1770577}" uniqueName="14" name="Propietario" queryTableFieldId="14" dataDxfId="6"/>
    <tableColumn id="15" xr3:uid="{1E80BFC8-64D2-42EF-8BC9-35001056ADB4}" uniqueName="15" name="Estado (Abierto/En curso/Cerrado)" queryTableFieldId="15" dataDxfId="5"/>
    <tableColumn id="16" xr3:uid="{2A9420A3-3020-41F4-9708-9CB7C649A3A5}" uniqueName="16" name="Fecha objetivo" queryTableFieldId="16" dataDxfId="4"/>
    <tableColumn id="17" xr3:uid="{A3B777A9-7A23-4266-A7A0-BADD0A6088C5}" uniqueName="17" name="Señales de advertencia (Early warnings)" queryTableFieldId="17" dataDxfId="3"/>
    <tableColumn id="18" xr3:uid="{433787D5-3CB5-49C9-B310-AA0C130A1D9C}" uniqueName="18" name="Plan de Contingencia / Reserva" queryTableFieldId="18" dataDxfId="2"/>
    <tableColumn id="19" xr3:uid="{F3E6BC5A-0099-4788-B0B8-8D339E6A8CCF}" uniqueName="19" name="Riesgo Residual (comentario)" queryTableFieldId="19" dataDxfId="1"/>
    <tableColumn id="20" xr3:uid="{679A37A5-3D1A-4061-8AAE-7CC31EE4F5E3}" uniqueName="20" name="Nota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08C7-D2D5-4610-9288-7B1AAD4FB78D}">
  <dimension ref="B2:U48"/>
  <sheetViews>
    <sheetView tabSelected="1" topLeftCell="O1" zoomScale="70" zoomScaleNormal="70" workbookViewId="0">
      <selection activeCell="S50" sqref="S50"/>
    </sheetView>
  </sheetViews>
  <sheetFormatPr baseColWidth="10" defaultRowHeight="15" x14ac:dyDescent="0.25"/>
  <cols>
    <col min="2" max="2" width="7.7109375" bestFit="1" customWidth="1"/>
    <col min="3" max="3" width="59.85546875" bestFit="1" customWidth="1"/>
    <col min="4" max="4" width="81.140625" bestFit="1" customWidth="1"/>
    <col min="5" max="5" width="34.42578125" bestFit="1" customWidth="1"/>
    <col min="6" max="6" width="34.140625" bestFit="1" customWidth="1"/>
    <col min="7" max="7" width="54.7109375" bestFit="1" customWidth="1"/>
    <col min="8" max="8" width="81.140625" bestFit="1" customWidth="1"/>
    <col min="9" max="9" width="19.28515625" bestFit="1" customWidth="1"/>
    <col min="10" max="10" width="15.140625" bestFit="1" customWidth="1"/>
    <col min="11" max="11" width="35.140625" bestFit="1" customWidth="1"/>
    <col min="12" max="12" width="54.28515625" bestFit="1" customWidth="1"/>
    <col min="13" max="14" width="81.140625" bestFit="1" customWidth="1"/>
    <col min="15" max="16" width="34.85546875" bestFit="1" customWidth="1"/>
    <col min="17" max="17" width="16.42578125" bestFit="1" customWidth="1"/>
    <col min="18" max="18" width="103.85546875" bestFit="1" customWidth="1"/>
    <col min="19" max="19" width="110" bestFit="1" customWidth="1"/>
    <col min="20" max="20" width="49.28515625" bestFit="1" customWidth="1"/>
    <col min="21" max="21" width="41.42578125" bestFit="1" customWidth="1"/>
  </cols>
  <sheetData>
    <row r="2" spans="2:2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</row>
    <row r="3" spans="2:21" x14ac:dyDescent="0.25"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4</v>
      </c>
      <c r="J3">
        <v>4</v>
      </c>
      <c r="K3">
        <f>matriz_Riesgos__2[[#This Row],[Probabilidad (1-5)]]*matriz_Riesgos__2[[#This Row],[Impacto (1-5)]]</f>
        <v>16</v>
      </c>
      <c r="L3" t="str">
        <f>IF(K3="","",IF(K3&gt;=20,"Crítico",IF(K3&gt;=12,"Alto",IF(K3&gt;=6,"Medio","Bajo"))))</f>
        <v>Alto</v>
      </c>
      <c r="M3" t="s">
        <v>28</v>
      </c>
      <c r="N3" t="s">
        <v>29</v>
      </c>
      <c r="O3" t="s">
        <v>30</v>
      </c>
      <c r="P3" t="s">
        <v>31</v>
      </c>
      <c r="Q3" s="1">
        <v>45946</v>
      </c>
      <c r="R3" t="s">
        <v>32</v>
      </c>
      <c r="S3" t="s">
        <v>33</v>
      </c>
      <c r="T3" t="s">
        <v>34</v>
      </c>
      <c r="U3" t="s">
        <v>27</v>
      </c>
    </row>
    <row r="4" spans="2:21" x14ac:dyDescent="0.25">
      <c r="B4" t="s">
        <v>35</v>
      </c>
      <c r="C4" t="s">
        <v>36</v>
      </c>
      <c r="D4" t="s">
        <v>37</v>
      </c>
      <c r="E4" t="s">
        <v>23</v>
      </c>
      <c r="F4" t="s">
        <v>38</v>
      </c>
      <c r="G4" t="s">
        <v>39</v>
      </c>
      <c r="H4" t="s">
        <v>40</v>
      </c>
      <c r="I4">
        <v>3</v>
      </c>
      <c r="J4">
        <v>5</v>
      </c>
      <c r="K4">
        <f>matriz_Riesgos__2[[#This Row],[Probabilidad (1-5)]]*matriz_Riesgos__2[[#This Row],[Impacto (1-5)]]</f>
        <v>15</v>
      </c>
      <c r="L4" t="str">
        <f t="shared" ref="L4:L48" si="0">IF(K4="","",IF(K4&gt;=20,"Crítico",IF(K4&gt;=12,"Alto",IF(K4&gt;=6,"Medio","Bajo"))))</f>
        <v>Alto</v>
      </c>
      <c r="M4" t="s">
        <v>28</v>
      </c>
      <c r="N4" t="s">
        <v>41</v>
      </c>
      <c r="O4" t="s">
        <v>42</v>
      </c>
      <c r="P4" t="s">
        <v>31</v>
      </c>
      <c r="Q4" s="1">
        <v>45945</v>
      </c>
      <c r="R4" t="s">
        <v>43</v>
      </c>
      <c r="S4" t="s">
        <v>44</v>
      </c>
      <c r="T4" t="s">
        <v>45</v>
      </c>
      <c r="U4" t="s">
        <v>27</v>
      </c>
    </row>
    <row r="5" spans="2:21" x14ac:dyDescent="0.25">
      <c r="B5" t="s">
        <v>46</v>
      </c>
      <c r="C5" t="s">
        <v>47</v>
      </c>
      <c r="D5" t="s">
        <v>48</v>
      </c>
      <c r="E5" t="s">
        <v>23</v>
      </c>
      <c r="F5" t="s">
        <v>49</v>
      </c>
      <c r="G5" t="s">
        <v>50</v>
      </c>
      <c r="H5" t="s">
        <v>51</v>
      </c>
      <c r="I5">
        <v>3</v>
      </c>
      <c r="J5">
        <v>4</v>
      </c>
      <c r="K5">
        <f>matriz_Riesgos__2[[#This Row],[Probabilidad (1-5)]]*matriz_Riesgos__2[[#This Row],[Impacto (1-5)]]</f>
        <v>12</v>
      </c>
      <c r="L5" t="str">
        <f t="shared" si="0"/>
        <v>Alto</v>
      </c>
      <c r="M5" t="s">
        <v>28</v>
      </c>
      <c r="N5" t="s">
        <v>52</v>
      </c>
      <c r="O5" t="s">
        <v>30</v>
      </c>
      <c r="P5" t="s">
        <v>31</v>
      </c>
      <c r="Q5" s="1">
        <v>45955</v>
      </c>
      <c r="R5" t="s">
        <v>53</v>
      </c>
      <c r="S5" t="s">
        <v>54</v>
      </c>
      <c r="T5" t="s">
        <v>55</v>
      </c>
      <c r="U5" t="s">
        <v>27</v>
      </c>
    </row>
    <row r="6" spans="2:21" x14ac:dyDescent="0.25">
      <c r="B6" t="s">
        <v>56</v>
      </c>
      <c r="C6" t="s">
        <v>57</v>
      </c>
      <c r="D6" t="s">
        <v>58</v>
      </c>
      <c r="E6" t="s">
        <v>23</v>
      </c>
      <c r="F6" t="s">
        <v>59</v>
      </c>
      <c r="G6" t="s">
        <v>60</v>
      </c>
      <c r="H6" t="s">
        <v>61</v>
      </c>
      <c r="I6">
        <v>4</v>
      </c>
      <c r="J6">
        <v>3</v>
      </c>
      <c r="K6">
        <f>matriz_Riesgos__2[[#This Row],[Probabilidad (1-5)]]*matriz_Riesgos__2[[#This Row],[Impacto (1-5)]]</f>
        <v>12</v>
      </c>
      <c r="L6" t="str">
        <f t="shared" si="0"/>
        <v>Alto</v>
      </c>
      <c r="M6" t="s">
        <v>28</v>
      </c>
      <c r="N6" t="s">
        <v>62</v>
      </c>
      <c r="O6" t="s">
        <v>63</v>
      </c>
      <c r="P6" t="s">
        <v>31</v>
      </c>
      <c r="Q6" s="1">
        <v>45943</v>
      </c>
      <c r="R6" t="s">
        <v>64</v>
      </c>
      <c r="S6" t="s">
        <v>65</v>
      </c>
      <c r="T6" t="s">
        <v>66</v>
      </c>
      <c r="U6" t="s">
        <v>27</v>
      </c>
    </row>
    <row r="7" spans="2:21" x14ac:dyDescent="0.25">
      <c r="B7" t="s">
        <v>67</v>
      </c>
      <c r="C7" t="s">
        <v>68</v>
      </c>
      <c r="D7" t="s">
        <v>69</v>
      </c>
      <c r="E7" t="s">
        <v>23</v>
      </c>
      <c r="F7" t="s">
        <v>70</v>
      </c>
      <c r="G7" t="s">
        <v>71</v>
      </c>
      <c r="H7" t="s">
        <v>72</v>
      </c>
      <c r="I7">
        <v>3</v>
      </c>
      <c r="J7">
        <v>5</v>
      </c>
      <c r="K7">
        <f>matriz_Riesgos__2[[#This Row],[Probabilidad (1-5)]]*matriz_Riesgos__2[[#This Row],[Impacto (1-5)]]</f>
        <v>15</v>
      </c>
      <c r="L7" t="str">
        <f t="shared" si="0"/>
        <v>Alto</v>
      </c>
      <c r="M7" t="s">
        <v>73</v>
      </c>
      <c r="N7" t="s">
        <v>74</v>
      </c>
      <c r="O7" t="s">
        <v>75</v>
      </c>
      <c r="P7" t="s">
        <v>31</v>
      </c>
      <c r="Q7" s="1">
        <v>45940</v>
      </c>
      <c r="R7" t="s">
        <v>76</v>
      </c>
      <c r="S7" t="s">
        <v>77</v>
      </c>
      <c r="T7" t="s">
        <v>78</v>
      </c>
      <c r="U7" t="s">
        <v>27</v>
      </c>
    </row>
    <row r="8" spans="2:21" x14ac:dyDescent="0.25">
      <c r="B8" t="s">
        <v>79</v>
      </c>
      <c r="C8" t="s">
        <v>80</v>
      </c>
      <c r="D8" t="s">
        <v>81</v>
      </c>
      <c r="E8" t="s">
        <v>23</v>
      </c>
      <c r="F8" t="s">
        <v>82</v>
      </c>
      <c r="G8" t="s">
        <v>83</v>
      </c>
      <c r="H8" t="s">
        <v>84</v>
      </c>
      <c r="I8">
        <v>2</v>
      </c>
      <c r="J8">
        <v>5</v>
      </c>
      <c r="K8">
        <f>matriz_Riesgos__2[[#This Row],[Probabilidad (1-5)]]*matriz_Riesgos__2[[#This Row],[Impacto (1-5)]]</f>
        <v>10</v>
      </c>
      <c r="L8" t="str">
        <f t="shared" si="0"/>
        <v>Medio</v>
      </c>
      <c r="M8" t="s">
        <v>85</v>
      </c>
      <c r="N8" t="s">
        <v>86</v>
      </c>
      <c r="O8" t="s">
        <v>30</v>
      </c>
      <c r="P8" t="s">
        <v>31</v>
      </c>
      <c r="Q8" s="1">
        <v>45965</v>
      </c>
      <c r="R8" t="s">
        <v>87</v>
      </c>
      <c r="S8" t="s">
        <v>88</v>
      </c>
      <c r="T8" t="s">
        <v>55</v>
      </c>
      <c r="U8" t="s">
        <v>27</v>
      </c>
    </row>
    <row r="9" spans="2:21" x14ac:dyDescent="0.25">
      <c r="B9" t="s">
        <v>89</v>
      </c>
      <c r="C9" t="s">
        <v>90</v>
      </c>
      <c r="D9" t="s">
        <v>91</v>
      </c>
      <c r="E9" t="s">
        <v>23</v>
      </c>
      <c r="F9" t="s">
        <v>92</v>
      </c>
      <c r="G9" t="s">
        <v>93</v>
      </c>
      <c r="H9" t="s">
        <v>94</v>
      </c>
      <c r="I9">
        <v>4</v>
      </c>
      <c r="J9">
        <v>4</v>
      </c>
      <c r="K9">
        <f>matriz_Riesgos__2[[#This Row],[Probabilidad (1-5)]]*matriz_Riesgos__2[[#This Row],[Impacto (1-5)]]</f>
        <v>16</v>
      </c>
      <c r="L9" t="str">
        <f t="shared" si="0"/>
        <v>Alto</v>
      </c>
      <c r="M9" t="s">
        <v>28</v>
      </c>
      <c r="N9" t="s">
        <v>95</v>
      </c>
      <c r="O9" t="s">
        <v>96</v>
      </c>
      <c r="P9" t="s">
        <v>31</v>
      </c>
      <c r="Q9" s="1">
        <v>45947</v>
      </c>
      <c r="R9" t="s">
        <v>97</v>
      </c>
      <c r="S9" t="s">
        <v>98</v>
      </c>
      <c r="T9" t="s">
        <v>55</v>
      </c>
      <c r="U9" t="s">
        <v>27</v>
      </c>
    </row>
    <row r="10" spans="2:21" x14ac:dyDescent="0.25">
      <c r="B10" t="s">
        <v>99</v>
      </c>
      <c r="C10" t="s">
        <v>100</v>
      </c>
      <c r="D10" t="s">
        <v>101</v>
      </c>
      <c r="E10" t="s">
        <v>23</v>
      </c>
      <c r="F10" t="s">
        <v>102</v>
      </c>
      <c r="G10" t="s">
        <v>103</v>
      </c>
      <c r="H10" t="s">
        <v>104</v>
      </c>
      <c r="I10">
        <v>3</v>
      </c>
      <c r="J10">
        <v>3</v>
      </c>
      <c r="K10">
        <f>matriz_Riesgos__2[[#This Row],[Probabilidad (1-5)]]*matriz_Riesgos__2[[#This Row],[Impacto (1-5)]]</f>
        <v>9</v>
      </c>
      <c r="L10" t="str">
        <f t="shared" si="0"/>
        <v>Medio</v>
      </c>
      <c r="M10" t="s">
        <v>105</v>
      </c>
      <c r="N10" t="s">
        <v>106</v>
      </c>
      <c r="O10" t="s">
        <v>107</v>
      </c>
      <c r="P10" t="s">
        <v>31</v>
      </c>
      <c r="Q10" s="1">
        <v>45950</v>
      </c>
      <c r="R10" t="s">
        <v>108</v>
      </c>
      <c r="S10" t="s">
        <v>109</v>
      </c>
      <c r="T10" t="s">
        <v>78</v>
      </c>
      <c r="U10" t="s">
        <v>27</v>
      </c>
    </row>
    <row r="11" spans="2:21" x14ac:dyDescent="0.25">
      <c r="B11" t="s">
        <v>110</v>
      </c>
      <c r="C11" t="s">
        <v>111</v>
      </c>
      <c r="D11" t="s">
        <v>112</v>
      </c>
      <c r="E11" t="s">
        <v>23</v>
      </c>
      <c r="F11" t="s">
        <v>113</v>
      </c>
      <c r="G11" t="s">
        <v>114</v>
      </c>
      <c r="H11" t="s">
        <v>72</v>
      </c>
      <c r="I11">
        <v>2</v>
      </c>
      <c r="J11">
        <v>5</v>
      </c>
      <c r="K11">
        <f>matriz_Riesgos__2[[#This Row],[Probabilidad (1-5)]]*matriz_Riesgos__2[[#This Row],[Impacto (1-5)]]</f>
        <v>10</v>
      </c>
      <c r="L11" t="str">
        <f t="shared" si="0"/>
        <v>Medio</v>
      </c>
      <c r="M11" t="s">
        <v>73</v>
      </c>
      <c r="N11" t="s">
        <v>115</v>
      </c>
      <c r="O11" t="s">
        <v>75</v>
      </c>
      <c r="P11" t="s">
        <v>31</v>
      </c>
      <c r="Q11" s="1">
        <v>45939</v>
      </c>
      <c r="R11" t="s">
        <v>116</v>
      </c>
      <c r="S11" t="s">
        <v>117</v>
      </c>
      <c r="T11" t="s">
        <v>78</v>
      </c>
      <c r="U11" t="s">
        <v>27</v>
      </c>
    </row>
    <row r="12" spans="2:21" x14ac:dyDescent="0.25">
      <c r="B12" t="s">
        <v>118</v>
      </c>
      <c r="C12" t="s">
        <v>119</v>
      </c>
      <c r="D12" t="s">
        <v>120</v>
      </c>
      <c r="E12" t="s">
        <v>23</v>
      </c>
      <c r="F12" t="s">
        <v>121</v>
      </c>
      <c r="G12" t="s">
        <v>122</v>
      </c>
      <c r="H12" t="s">
        <v>123</v>
      </c>
      <c r="I12">
        <v>3</v>
      </c>
      <c r="J12">
        <v>3</v>
      </c>
      <c r="K12">
        <f>matriz_Riesgos__2[[#This Row],[Probabilidad (1-5)]]*matriz_Riesgos__2[[#This Row],[Impacto (1-5)]]</f>
        <v>9</v>
      </c>
      <c r="L12" t="str">
        <f t="shared" si="0"/>
        <v>Medio</v>
      </c>
      <c r="M12" t="s">
        <v>28</v>
      </c>
      <c r="N12" t="s">
        <v>124</v>
      </c>
      <c r="O12" t="s">
        <v>107</v>
      </c>
      <c r="P12" t="s">
        <v>31</v>
      </c>
      <c r="Q12" s="1">
        <v>45953</v>
      </c>
      <c r="R12" t="s">
        <v>125</v>
      </c>
      <c r="S12" t="s">
        <v>126</v>
      </c>
      <c r="T12" t="s">
        <v>78</v>
      </c>
      <c r="U12" t="s">
        <v>27</v>
      </c>
    </row>
    <row r="13" spans="2:21" x14ac:dyDescent="0.25">
      <c r="B13" t="s">
        <v>127</v>
      </c>
      <c r="C13" t="s">
        <v>128</v>
      </c>
      <c r="D13" t="s">
        <v>129</v>
      </c>
      <c r="E13" t="s">
        <v>23</v>
      </c>
      <c r="F13" t="s">
        <v>130</v>
      </c>
      <c r="G13" t="s">
        <v>131</v>
      </c>
      <c r="H13" t="s">
        <v>132</v>
      </c>
      <c r="I13">
        <v>3</v>
      </c>
      <c r="J13">
        <v>4</v>
      </c>
      <c r="K13">
        <f>matriz_Riesgos__2[[#This Row],[Probabilidad (1-5)]]*matriz_Riesgos__2[[#This Row],[Impacto (1-5)]]</f>
        <v>12</v>
      </c>
      <c r="L13" t="str">
        <f t="shared" si="0"/>
        <v>Alto</v>
      </c>
      <c r="M13" t="s">
        <v>28</v>
      </c>
      <c r="N13" t="s">
        <v>133</v>
      </c>
      <c r="O13" t="s">
        <v>134</v>
      </c>
      <c r="P13" t="s">
        <v>31</v>
      </c>
      <c r="Q13" s="1">
        <v>45951</v>
      </c>
      <c r="R13" t="s">
        <v>135</v>
      </c>
      <c r="S13" t="s">
        <v>136</v>
      </c>
      <c r="T13" t="s">
        <v>137</v>
      </c>
      <c r="U13" t="s">
        <v>27</v>
      </c>
    </row>
    <row r="14" spans="2:21" x14ac:dyDescent="0.25">
      <c r="B14" t="s">
        <v>138</v>
      </c>
      <c r="C14" t="s">
        <v>139</v>
      </c>
      <c r="D14" t="s">
        <v>140</v>
      </c>
      <c r="E14" t="s">
        <v>23</v>
      </c>
      <c r="F14" t="s">
        <v>141</v>
      </c>
      <c r="G14" t="s">
        <v>142</v>
      </c>
      <c r="H14" t="s">
        <v>143</v>
      </c>
      <c r="I14">
        <v>2</v>
      </c>
      <c r="J14">
        <v>4</v>
      </c>
      <c r="K14">
        <f>matriz_Riesgos__2[[#This Row],[Probabilidad (1-5)]]*matriz_Riesgos__2[[#This Row],[Impacto (1-5)]]</f>
        <v>8</v>
      </c>
      <c r="L14" t="str">
        <f t="shared" si="0"/>
        <v>Medio</v>
      </c>
      <c r="M14" t="s">
        <v>28</v>
      </c>
      <c r="N14" t="s">
        <v>144</v>
      </c>
      <c r="O14" t="s">
        <v>42</v>
      </c>
      <c r="P14" t="s">
        <v>31</v>
      </c>
      <c r="Q14" s="1">
        <v>45957</v>
      </c>
      <c r="R14" t="s">
        <v>145</v>
      </c>
      <c r="S14" t="s">
        <v>146</v>
      </c>
      <c r="T14" t="s">
        <v>78</v>
      </c>
      <c r="U14" t="s">
        <v>27</v>
      </c>
    </row>
    <row r="15" spans="2:21" x14ac:dyDescent="0.25">
      <c r="B15" t="s">
        <v>147</v>
      </c>
      <c r="C15" t="s">
        <v>148</v>
      </c>
      <c r="D15" t="s">
        <v>149</v>
      </c>
      <c r="E15" t="s">
        <v>23</v>
      </c>
      <c r="F15" t="s">
        <v>150</v>
      </c>
      <c r="G15" t="s">
        <v>151</v>
      </c>
      <c r="H15" t="s">
        <v>152</v>
      </c>
      <c r="I15">
        <v>3</v>
      </c>
      <c r="J15">
        <v>3</v>
      </c>
      <c r="K15">
        <f>matriz_Riesgos__2[[#This Row],[Probabilidad (1-5)]]*matriz_Riesgos__2[[#This Row],[Impacto (1-5)]]</f>
        <v>9</v>
      </c>
      <c r="L15" t="str">
        <f t="shared" si="0"/>
        <v>Medio</v>
      </c>
      <c r="M15" t="s">
        <v>28</v>
      </c>
      <c r="N15" t="s">
        <v>153</v>
      </c>
      <c r="O15" t="s">
        <v>154</v>
      </c>
      <c r="P15" t="s">
        <v>31</v>
      </c>
      <c r="Q15" s="1">
        <v>45960</v>
      </c>
      <c r="R15" t="s">
        <v>155</v>
      </c>
      <c r="S15" t="s">
        <v>156</v>
      </c>
      <c r="T15" t="s">
        <v>78</v>
      </c>
      <c r="U15" t="s">
        <v>27</v>
      </c>
    </row>
    <row r="16" spans="2:21" x14ac:dyDescent="0.25">
      <c r="B16" t="s">
        <v>157</v>
      </c>
      <c r="C16" t="s">
        <v>158</v>
      </c>
      <c r="D16" t="s">
        <v>159</v>
      </c>
      <c r="E16" t="s">
        <v>23</v>
      </c>
      <c r="F16" t="s">
        <v>160</v>
      </c>
      <c r="G16" t="s">
        <v>161</v>
      </c>
      <c r="H16" t="s">
        <v>162</v>
      </c>
      <c r="I16">
        <v>2</v>
      </c>
      <c r="J16">
        <v>4</v>
      </c>
      <c r="K16">
        <f>matriz_Riesgos__2[[#This Row],[Probabilidad (1-5)]]*matriz_Riesgos__2[[#This Row],[Impacto (1-5)]]</f>
        <v>8</v>
      </c>
      <c r="L16" t="str">
        <f t="shared" si="0"/>
        <v>Medio</v>
      </c>
      <c r="M16" t="s">
        <v>105</v>
      </c>
      <c r="N16" t="s">
        <v>163</v>
      </c>
      <c r="O16" t="s">
        <v>134</v>
      </c>
      <c r="P16" t="s">
        <v>31</v>
      </c>
      <c r="Q16" s="1">
        <v>45970</v>
      </c>
      <c r="R16" t="s">
        <v>164</v>
      </c>
      <c r="S16" t="s">
        <v>165</v>
      </c>
      <c r="T16" t="s">
        <v>55</v>
      </c>
      <c r="U16" t="s">
        <v>27</v>
      </c>
    </row>
    <row r="17" spans="2:21" x14ac:dyDescent="0.25">
      <c r="B17" t="s">
        <v>166</v>
      </c>
      <c r="C17" t="s">
        <v>167</v>
      </c>
      <c r="D17" t="s">
        <v>168</v>
      </c>
      <c r="E17" t="s">
        <v>23</v>
      </c>
      <c r="F17" t="s">
        <v>169</v>
      </c>
      <c r="G17" t="s">
        <v>170</v>
      </c>
      <c r="H17" t="s">
        <v>171</v>
      </c>
      <c r="I17">
        <v>2</v>
      </c>
      <c r="J17">
        <v>3</v>
      </c>
      <c r="K17">
        <f>matriz_Riesgos__2[[#This Row],[Probabilidad (1-5)]]*matriz_Riesgos__2[[#This Row],[Impacto (1-5)]]</f>
        <v>6</v>
      </c>
      <c r="L17" t="str">
        <f t="shared" si="0"/>
        <v>Medio</v>
      </c>
      <c r="M17" t="s">
        <v>85</v>
      </c>
      <c r="N17" t="s">
        <v>172</v>
      </c>
      <c r="O17" t="s">
        <v>30</v>
      </c>
      <c r="P17" t="s">
        <v>31</v>
      </c>
      <c r="Q17" s="1">
        <v>45985</v>
      </c>
      <c r="R17" t="s">
        <v>173</v>
      </c>
      <c r="S17" t="s">
        <v>174</v>
      </c>
      <c r="T17" t="s">
        <v>137</v>
      </c>
      <c r="U17" t="s">
        <v>27</v>
      </c>
    </row>
    <row r="18" spans="2:21" x14ac:dyDescent="0.25">
      <c r="B18" t="s">
        <v>175</v>
      </c>
      <c r="C18" t="s">
        <v>176</v>
      </c>
      <c r="D18" t="s">
        <v>177</v>
      </c>
      <c r="E18" t="s">
        <v>23</v>
      </c>
      <c r="F18" t="s">
        <v>178</v>
      </c>
      <c r="G18" t="s">
        <v>179</v>
      </c>
      <c r="H18" t="s">
        <v>180</v>
      </c>
      <c r="I18">
        <v>3</v>
      </c>
      <c r="J18">
        <v>5</v>
      </c>
      <c r="K18">
        <f>matriz_Riesgos__2[[#This Row],[Probabilidad (1-5)]]*matriz_Riesgos__2[[#This Row],[Impacto (1-5)]]</f>
        <v>15</v>
      </c>
      <c r="L18" t="str">
        <f t="shared" si="0"/>
        <v>Alto</v>
      </c>
      <c r="M18" t="s">
        <v>73</v>
      </c>
      <c r="N18" t="s">
        <v>181</v>
      </c>
      <c r="O18" t="s">
        <v>75</v>
      </c>
      <c r="P18" t="s">
        <v>31</v>
      </c>
      <c r="Q18" s="1">
        <v>45966</v>
      </c>
      <c r="R18" t="s">
        <v>182</v>
      </c>
      <c r="S18" t="s">
        <v>183</v>
      </c>
      <c r="T18" t="s">
        <v>66</v>
      </c>
      <c r="U18" t="s">
        <v>27</v>
      </c>
    </row>
    <row r="19" spans="2:21" x14ac:dyDescent="0.25">
      <c r="B19" t="s">
        <v>184</v>
      </c>
      <c r="C19" t="s">
        <v>185</v>
      </c>
      <c r="D19" t="s">
        <v>186</v>
      </c>
      <c r="E19" t="s">
        <v>23</v>
      </c>
      <c r="F19" t="s">
        <v>187</v>
      </c>
      <c r="G19" t="s">
        <v>188</v>
      </c>
      <c r="H19" t="s">
        <v>189</v>
      </c>
      <c r="I19">
        <v>3</v>
      </c>
      <c r="J19">
        <v>4</v>
      </c>
      <c r="K19">
        <f>matriz_Riesgos__2[[#This Row],[Probabilidad (1-5)]]*matriz_Riesgos__2[[#This Row],[Impacto (1-5)]]</f>
        <v>12</v>
      </c>
      <c r="L19" t="str">
        <f t="shared" si="0"/>
        <v>Alto</v>
      </c>
      <c r="M19" t="s">
        <v>28</v>
      </c>
      <c r="N19" t="s">
        <v>190</v>
      </c>
      <c r="O19" t="s">
        <v>191</v>
      </c>
      <c r="P19" t="s">
        <v>31</v>
      </c>
      <c r="Q19" s="1">
        <v>45959</v>
      </c>
      <c r="R19" t="s">
        <v>192</v>
      </c>
      <c r="S19" t="s">
        <v>193</v>
      </c>
      <c r="T19" t="s">
        <v>55</v>
      </c>
      <c r="U19" t="s">
        <v>27</v>
      </c>
    </row>
    <row r="20" spans="2:21" x14ac:dyDescent="0.25">
      <c r="B20" t="s">
        <v>194</v>
      </c>
      <c r="C20" t="s">
        <v>195</v>
      </c>
      <c r="D20" t="s">
        <v>196</v>
      </c>
      <c r="E20" t="s">
        <v>23</v>
      </c>
      <c r="F20" t="s">
        <v>197</v>
      </c>
      <c r="G20" t="s">
        <v>198</v>
      </c>
      <c r="H20" t="s">
        <v>61</v>
      </c>
      <c r="I20">
        <v>3</v>
      </c>
      <c r="J20">
        <v>4</v>
      </c>
      <c r="K20">
        <f>matriz_Riesgos__2[[#This Row],[Probabilidad (1-5)]]*matriz_Riesgos__2[[#This Row],[Impacto (1-5)]]</f>
        <v>12</v>
      </c>
      <c r="L20" t="str">
        <f t="shared" si="0"/>
        <v>Alto</v>
      </c>
      <c r="M20" t="s">
        <v>28</v>
      </c>
      <c r="N20" t="s">
        <v>199</v>
      </c>
      <c r="O20" t="s">
        <v>63</v>
      </c>
      <c r="P20" t="s">
        <v>31</v>
      </c>
      <c r="Q20" s="1">
        <v>45956</v>
      </c>
      <c r="R20" t="s">
        <v>200</v>
      </c>
      <c r="S20" t="s">
        <v>201</v>
      </c>
      <c r="T20" t="s">
        <v>66</v>
      </c>
      <c r="U20" t="s">
        <v>27</v>
      </c>
    </row>
    <row r="21" spans="2:21" x14ac:dyDescent="0.25">
      <c r="B21" t="s">
        <v>202</v>
      </c>
      <c r="C21" t="s">
        <v>203</v>
      </c>
      <c r="D21" t="s">
        <v>204</v>
      </c>
      <c r="E21" t="s">
        <v>23</v>
      </c>
      <c r="F21" t="s">
        <v>205</v>
      </c>
      <c r="G21" t="s">
        <v>206</v>
      </c>
      <c r="H21" t="s">
        <v>207</v>
      </c>
      <c r="I21">
        <v>2</v>
      </c>
      <c r="J21">
        <v>5</v>
      </c>
      <c r="K21">
        <f>matriz_Riesgos__2[[#This Row],[Probabilidad (1-5)]]*matriz_Riesgos__2[[#This Row],[Impacto (1-5)]]</f>
        <v>10</v>
      </c>
      <c r="L21" t="str">
        <f t="shared" si="0"/>
        <v>Medio</v>
      </c>
      <c r="M21" t="s">
        <v>28</v>
      </c>
      <c r="N21" t="s">
        <v>208</v>
      </c>
      <c r="O21" t="s">
        <v>30</v>
      </c>
      <c r="P21" t="s">
        <v>31</v>
      </c>
      <c r="Q21" s="1">
        <v>45968</v>
      </c>
      <c r="R21" t="s">
        <v>209</v>
      </c>
      <c r="S21" t="s">
        <v>210</v>
      </c>
      <c r="T21" t="s">
        <v>78</v>
      </c>
      <c r="U21" t="s">
        <v>27</v>
      </c>
    </row>
    <row r="22" spans="2:21" x14ac:dyDescent="0.25">
      <c r="B22" t="s">
        <v>211</v>
      </c>
      <c r="C22" t="s">
        <v>212</v>
      </c>
      <c r="D22" t="s">
        <v>213</v>
      </c>
      <c r="E22" t="s">
        <v>23</v>
      </c>
      <c r="F22" t="s">
        <v>214</v>
      </c>
      <c r="G22" t="s">
        <v>215</v>
      </c>
      <c r="H22" t="s">
        <v>216</v>
      </c>
      <c r="I22">
        <v>3</v>
      </c>
      <c r="J22">
        <v>3</v>
      </c>
      <c r="K22">
        <f>matriz_Riesgos__2[[#This Row],[Probabilidad (1-5)]]*matriz_Riesgos__2[[#This Row],[Impacto (1-5)]]</f>
        <v>9</v>
      </c>
      <c r="L22" t="str">
        <f t="shared" si="0"/>
        <v>Medio</v>
      </c>
      <c r="M22" t="s">
        <v>85</v>
      </c>
      <c r="N22" t="s">
        <v>217</v>
      </c>
      <c r="O22" t="s">
        <v>191</v>
      </c>
      <c r="P22" t="s">
        <v>31</v>
      </c>
      <c r="Q22" s="1">
        <v>45973</v>
      </c>
      <c r="R22" t="s">
        <v>218</v>
      </c>
      <c r="S22" t="s">
        <v>219</v>
      </c>
      <c r="T22" t="s">
        <v>137</v>
      </c>
      <c r="U22" t="s">
        <v>27</v>
      </c>
    </row>
    <row r="23" spans="2:21" x14ac:dyDescent="0.25">
      <c r="B23" t="s">
        <v>220</v>
      </c>
      <c r="C23" t="s">
        <v>221</v>
      </c>
      <c r="D23" t="s">
        <v>222</v>
      </c>
      <c r="E23" t="s">
        <v>23</v>
      </c>
      <c r="F23" t="s">
        <v>223</v>
      </c>
      <c r="G23" t="s">
        <v>224</v>
      </c>
      <c r="H23" t="s">
        <v>225</v>
      </c>
      <c r="I23">
        <v>3</v>
      </c>
      <c r="J23">
        <v>3</v>
      </c>
      <c r="K23">
        <f>matriz_Riesgos__2[[#This Row],[Probabilidad (1-5)]]*matriz_Riesgos__2[[#This Row],[Impacto (1-5)]]</f>
        <v>9</v>
      </c>
      <c r="L23" t="str">
        <f t="shared" si="0"/>
        <v>Medio</v>
      </c>
      <c r="M23" t="s">
        <v>28</v>
      </c>
      <c r="N23" t="s">
        <v>226</v>
      </c>
      <c r="O23" t="s">
        <v>134</v>
      </c>
      <c r="P23" t="s">
        <v>31</v>
      </c>
      <c r="Q23" s="1">
        <v>45961</v>
      </c>
      <c r="R23" t="s">
        <v>227</v>
      </c>
      <c r="S23" t="s">
        <v>228</v>
      </c>
      <c r="T23" t="s">
        <v>78</v>
      </c>
      <c r="U23" t="s">
        <v>27</v>
      </c>
    </row>
    <row r="24" spans="2:21" x14ac:dyDescent="0.25">
      <c r="B24" t="s">
        <v>229</v>
      </c>
      <c r="C24" t="s">
        <v>230</v>
      </c>
      <c r="D24" t="s">
        <v>231</v>
      </c>
      <c r="E24" t="s">
        <v>23</v>
      </c>
      <c r="F24" t="s">
        <v>232</v>
      </c>
      <c r="G24" t="s">
        <v>233</v>
      </c>
      <c r="H24" t="s">
        <v>234</v>
      </c>
      <c r="I24">
        <v>2</v>
      </c>
      <c r="J24">
        <v>4</v>
      </c>
      <c r="K24">
        <f>matriz_Riesgos__2[[#This Row],[Probabilidad (1-5)]]*matriz_Riesgos__2[[#This Row],[Impacto (1-5)]]</f>
        <v>8</v>
      </c>
      <c r="L24" t="str">
        <f t="shared" si="0"/>
        <v>Medio</v>
      </c>
      <c r="M24" t="s">
        <v>105</v>
      </c>
      <c r="N24" t="s">
        <v>235</v>
      </c>
      <c r="O24" t="s">
        <v>191</v>
      </c>
      <c r="P24" t="s">
        <v>31</v>
      </c>
      <c r="Q24" s="1">
        <v>45981</v>
      </c>
      <c r="R24" t="s">
        <v>236</v>
      </c>
      <c r="S24" t="s">
        <v>237</v>
      </c>
      <c r="T24" t="s">
        <v>137</v>
      </c>
      <c r="U24" t="s">
        <v>27</v>
      </c>
    </row>
    <row r="25" spans="2:21" x14ac:dyDescent="0.25">
      <c r="B25" t="s">
        <v>347</v>
      </c>
      <c r="C25" t="s">
        <v>348</v>
      </c>
      <c r="D25" t="s">
        <v>349</v>
      </c>
      <c r="E25" t="s">
        <v>23</v>
      </c>
      <c r="F25" t="s">
        <v>350</v>
      </c>
      <c r="G25" t="s">
        <v>351</v>
      </c>
      <c r="H25" t="s">
        <v>265</v>
      </c>
      <c r="I25">
        <v>3</v>
      </c>
      <c r="J25">
        <v>4</v>
      </c>
      <c r="K25">
        <f>matriz_Riesgos__2[[#This Row],[Probabilidad (1-5)]]*matriz_Riesgos__2[[#This Row],[Impacto (1-5)]]</f>
        <v>12</v>
      </c>
      <c r="L25" t="str">
        <f t="shared" si="0"/>
        <v>Alto</v>
      </c>
      <c r="M25" t="s">
        <v>28</v>
      </c>
      <c r="N25" t="s">
        <v>352</v>
      </c>
      <c r="O25" t="s">
        <v>407</v>
      </c>
      <c r="P25" t="s">
        <v>31</v>
      </c>
      <c r="Q25" s="1">
        <v>45971</v>
      </c>
      <c r="R25" t="s">
        <v>353</v>
      </c>
      <c r="S25" t="s">
        <v>354</v>
      </c>
      <c r="T25" t="s">
        <v>55</v>
      </c>
      <c r="U25" t="s">
        <v>27</v>
      </c>
    </row>
    <row r="26" spans="2:21" x14ac:dyDescent="0.25">
      <c r="B26" t="s">
        <v>355</v>
      </c>
      <c r="C26" t="s">
        <v>356</v>
      </c>
      <c r="D26" t="s">
        <v>357</v>
      </c>
      <c r="E26" t="s">
        <v>23</v>
      </c>
      <c r="F26" t="s">
        <v>358</v>
      </c>
      <c r="G26" t="s">
        <v>359</v>
      </c>
      <c r="H26" t="s">
        <v>303</v>
      </c>
      <c r="I26">
        <v>3</v>
      </c>
      <c r="J26">
        <v>4</v>
      </c>
      <c r="K26">
        <f>matriz_Riesgos__2[[#This Row],[Probabilidad (1-5)]]*matriz_Riesgos__2[[#This Row],[Impacto (1-5)]]</f>
        <v>12</v>
      </c>
      <c r="L26" t="str">
        <f t="shared" si="0"/>
        <v>Alto</v>
      </c>
      <c r="M26" t="s">
        <v>28</v>
      </c>
      <c r="N26" t="s">
        <v>408</v>
      </c>
      <c r="O26" t="s">
        <v>409</v>
      </c>
      <c r="P26" t="s">
        <v>31</v>
      </c>
      <c r="Q26" s="1">
        <v>45959</v>
      </c>
      <c r="R26" t="s">
        <v>360</v>
      </c>
      <c r="S26" t="s">
        <v>361</v>
      </c>
      <c r="T26" t="s">
        <v>66</v>
      </c>
      <c r="U26" t="s">
        <v>27</v>
      </c>
    </row>
    <row r="27" spans="2:21" x14ac:dyDescent="0.25">
      <c r="B27" t="s">
        <v>362</v>
      </c>
      <c r="C27" t="s">
        <v>363</v>
      </c>
      <c r="D27" t="s">
        <v>364</v>
      </c>
      <c r="E27" t="s">
        <v>23</v>
      </c>
      <c r="F27" t="s">
        <v>365</v>
      </c>
      <c r="G27" t="s">
        <v>366</v>
      </c>
      <c r="H27" t="s">
        <v>132</v>
      </c>
      <c r="I27">
        <v>3</v>
      </c>
      <c r="J27">
        <v>5</v>
      </c>
      <c r="K27">
        <f>matriz_Riesgos__2[[#This Row],[Probabilidad (1-5)]]*matriz_Riesgos__2[[#This Row],[Impacto (1-5)]]</f>
        <v>15</v>
      </c>
      <c r="L27" t="str">
        <f t="shared" si="0"/>
        <v>Alto</v>
      </c>
      <c r="M27" t="s">
        <v>28</v>
      </c>
      <c r="N27" t="s">
        <v>410</v>
      </c>
      <c r="O27" t="s">
        <v>409</v>
      </c>
      <c r="P27" t="s">
        <v>31</v>
      </c>
      <c r="Q27" s="1">
        <v>45967</v>
      </c>
      <c r="R27" t="s">
        <v>367</v>
      </c>
      <c r="S27" t="s">
        <v>411</v>
      </c>
      <c r="T27" t="s">
        <v>55</v>
      </c>
      <c r="U27" t="s">
        <v>27</v>
      </c>
    </row>
    <row r="28" spans="2:21" x14ac:dyDescent="0.25">
      <c r="B28" t="s">
        <v>368</v>
      </c>
      <c r="C28" t="s">
        <v>369</v>
      </c>
      <c r="D28" t="s">
        <v>370</v>
      </c>
      <c r="E28" t="s">
        <v>23</v>
      </c>
      <c r="F28" t="s">
        <v>371</v>
      </c>
      <c r="G28" t="s">
        <v>372</v>
      </c>
      <c r="H28" t="s">
        <v>373</v>
      </c>
      <c r="I28">
        <v>2</v>
      </c>
      <c r="J28">
        <v>3</v>
      </c>
      <c r="K28">
        <f>matriz_Riesgos__2[[#This Row],[Probabilidad (1-5)]]*matriz_Riesgos__2[[#This Row],[Impacto (1-5)]]</f>
        <v>6</v>
      </c>
      <c r="L28" t="str">
        <f t="shared" si="0"/>
        <v>Medio</v>
      </c>
      <c r="M28" t="s">
        <v>28</v>
      </c>
      <c r="N28" t="s">
        <v>374</v>
      </c>
      <c r="O28" t="s">
        <v>409</v>
      </c>
      <c r="P28" t="s">
        <v>31</v>
      </c>
      <c r="Q28" s="1">
        <v>45957</v>
      </c>
      <c r="R28" t="s">
        <v>375</v>
      </c>
      <c r="S28" t="s">
        <v>376</v>
      </c>
      <c r="T28" t="s">
        <v>78</v>
      </c>
      <c r="U28" t="s">
        <v>27</v>
      </c>
    </row>
    <row r="29" spans="2:21" x14ac:dyDescent="0.25">
      <c r="B29" t="s">
        <v>377</v>
      </c>
      <c r="C29" t="s">
        <v>378</v>
      </c>
      <c r="D29" t="s">
        <v>379</v>
      </c>
      <c r="E29" t="s">
        <v>23</v>
      </c>
      <c r="F29" t="s">
        <v>380</v>
      </c>
      <c r="G29" t="s">
        <v>381</v>
      </c>
      <c r="H29" t="s">
        <v>72</v>
      </c>
      <c r="I29">
        <v>3</v>
      </c>
      <c r="J29">
        <v>5</v>
      </c>
      <c r="K29">
        <f>matriz_Riesgos__2[[#This Row],[Probabilidad (1-5)]]*matriz_Riesgos__2[[#This Row],[Impacto (1-5)]]</f>
        <v>15</v>
      </c>
      <c r="L29" t="str">
        <f t="shared" si="0"/>
        <v>Alto</v>
      </c>
      <c r="M29" t="s">
        <v>73</v>
      </c>
      <c r="N29" t="s">
        <v>382</v>
      </c>
      <c r="O29" t="s">
        <v>409</v>
      </c>
      <c r="P29" t="s">
        <v>31</v>
      </c>
      <c r="Q29" s="1">
        <v>45961</v>
      </c>
      <c r="R29" t="s">
        <v>383</v>
      </c>
      <c r="S29" t="s">
        <v>384</v>
      </c>
      <c r="T29" t="s">
        <v>78</v>
      </c>
      <c r="U29" t="s">
        <v>27</v>
      </c>
    </row>
    <row r="30" spans="2:21" x14ac:dyDescent="0.25">
      <c r="B30" t="s">
        <v>385</v>
      </c>
      <c r="C30" t="s">
        <v>386</v>
      </c>
      <c r="D30" t="s">
        <v>387</v>
      </c>
      <c r="E30" t="s">
        <v>23</v>
      </c>
      <c r="F30" t="s">
        <v>388</v>
      </c>
      <c r="G30" t="s">
        <v>389</v>
      </c>
      <c r="H30" t="s">
        <v>390</v>
      </c>
      <c r="I30">
        <v>2</v>
      </c>
      <c r="J30">
        <v>4</v>
      </c>
      <c r="K30">
        <f>matriz_Riesgos__2[[#This Row],[Probabilidad (1-5)]]*matriz_Riesgos__2[[#This Row],[Impacto (1-5)]]</f>
        <v>8</v>
      </c>
      <c r="L30" t="str">
        <f t="shared" si="0"/>
        <v>Medio</v>
      </c>
      <c r="M30" t="s">
        <v>85</v>
      </c>
      <c r="N30" t="s">
        <v>391</v>
      </c>
      <c r="O30" t="s">
        <v>412</v>
      </c>
      <c r="P30" t="s">
        <v>31</v>
      </c>
      <c r="Q30" s="1">
        <v>45976</v>
      </c>
      <c r="R30" t="s">
        <v>392</v>
      </c>
      <c r="S30" t="s">
        <v>393</v>
      </c>
      <c r="T30" t="s">
        <v>137</v>
      </c>
      <c r="U30" t="s">
        <v>27</v>
      </c>
    </row>
    <row r="31" spans="2:21" x14ac:dyDescent="0.25">
      <c r="B31" t="s">
        <v>413</v>
      </c>
      <c r="C31" t="s">
        <v>414</v>
      </c>
      <c r="D31" t="s">
        <v>415</v>
      </c>
      <c r="E31" t="s">
        <v>23</v>
      </c>
      <c r="F31" t="s">
        <v>416</v>
      </c>
      <c r="G31" t="s">
        <v>417</v>
      </c>
      <c r="H31" t="s">
        <v>418</v>
      </c>
      <c r="I31">
        <v>3</v>
      </c>
      <c r="J31">
        <v>4</v>
      </c>
      <c r="K31">
        <f>matriz_Riesgos__2[[#This Row],[Probabilidad (1-5)]]*matriz_Riesgos__2[[#This Row],[Impacto (1-5)]]</f>
        <v>12</v>
      </c>
      <c r="L31" t="str">
        <f t="shared" si="0"/>
        <v>Alto</v>
      </c>
      <c r="M31" t="s">
        <v>28</v>
      </c>
      <c r="N31" t="s">
        <v>419</v>
      </c>
      <c r="O31" t="s">
        <v>409</v>
      </c>
      <c r="P31" t="s">
        <v>31</v>
      </c>
      <c r="Q31" s="1">
        <v>45966</v>
      </c>
      <c r="R31" t="s">
        <v>420</v>
      </c>
      <c r="S31" t="s">
        <v>421</v>
      </c>
      <c r="T31" t="s">
        <v>55</v>
      </c>
      <c r="U31" t="s">
        <v>27</v>
      </c>
    </row>
    <row r="32" spans="2:21" x14ac:dyDescent="0.25">
      <c r="B32" t="s">
        <v>422</v>
      </c>
      <c r="C32" t="s">
        <v>423</v>
      </c>
      <c r="D32" t="s">
        <v>424</v>
      </c>
      <c r="E32" t="s">
        <v>23</v>
      </c>
      <c r="F32" t="s">
        <v>425</v>
      </c>
      <c r="G32" t="s">
        <v>426</v>
      </c>
      <c r="H32" t="s">
        <v>427</v>
      </c>
      <c r="I32">
        <v>3</v>
      </c>
      <c r="J32">
        <v>5</v>
      </c>
      <c r="K32">
        <f>matriz_Riesgos__2[[#This Row],[Probabilidad (1-5)]]*matriz_Riesgos__2[[#This Row],[Impacto (1-5)]]</f>
        <v>15</v>
      </c>
      <c r="L32" t="str">
        <f t="shared" si="0"/>
        <v>Alto</v>
      </c>
      <c r="M32" t="s">
        <v>73</v>
      </c>
      <c r="N32" t="s">
        <v>428</v>
      </c>
      <c r="O32" t="s">
        <v>409</v>
      </c>
      <c r="P32" t="s">
        <v>31</v>
      </c>
      <c r="Q32" s="1">
        <v>45973</v>
      </c>
      <c r="R32" t="s">
        <v>429</v>
      </c>
      <c r="S32" t="s">
        <v>430</v>
      </c>
      <c r="T32" t="s">
        <v>78</v>
      </c>
      <c r="U32" t="s">
        <v>27</v>
      </c>
    </row>
    <row r="33" spans="2:21" x14ac:dyDescent="0.25">
      <c r="B33" t="s">
        <v>238</v>
      </c>
      <c r="C33" t="s">
        <v>239</v>
      </c>
      <c r="D33" t="s">
        <v>240</v>
      </c>
      <c r="E33" t="s">
        <v>241</v>
      </c>
      <c r="F33" t="s">
        <v>242</v>
      </c>
      <c r="G33" t="s">
        <v>243</v>
      </c>
      <c r="H33" t="s">
        <v>244</v>
      </c>
      <c r="I33">
        <v>3</v>
      </c>
      <c r="J33">
        <v>4</v>
      </c>
      <c r="K33">
        <f>matriz_Riesgos__2[[#This Row],[Probabilidad (1-5)]]*matriz_Riesgos__2[[#This Row],[Impacto (1-5)]]</f>
        <v>12</v>
      </c>
      <c r="L33" t="str">
        <f t="shared" si="0"/>
        <v>Alto</v>
      </c>
      <c r="M33" t="s">
        <v>245</v>
      </c>
      <c r="N33" t="s">
        <v>246</v>
      </c>
      <c r="O33" t="s">
        <v>154</v>
      </c>
      <c r="P33" t="s">
        <v>247</v>
      </c>
      <c r="Q33" s="1">
        <v>45975</v>
      </c>
      <c r="R33" t="s">
        <v>248</v>
      </c>
      <c r="S33" t="s">
        <v>249</v>
      </c>
      <c r="T33" t="s">
        <v>78</v>
      </c>
      <c r="U33" t="s">
        <v>250</v>
      </c>
    </row>
    <row r="34" spans="2:21" x14ac:dyDescent="0.25">
      <c r="B34" t="s">
        <v>251</v>
      </c>
      <c r="C34" t="s">
        <v>252</v>
      </c>
      <c r="D34" t="s">
        <v>253</v>
      </c>
      <c r="E34" t="s">
        <v>241</v>
      </c>
      <c r="F34" t="s">
        <v>254</v>
      </c>
      <c r="G34" t="s">
        <v>255</v>
      </c>
      <c r="H34" t="s">
        <v>51</v>
      </c>
      <c r="I34">
        <v>4</v>
      </c>
      <c r="J34">
        <v>3</v>
      </c>
      <c r="K34">
        <f>matriz_Riesgos__2[[#This Row],[Probabilidad (1-5)]]*matriz_Riesgos__2[[#This Row],[Impacto (1-5)]]</f>
        <v>12</v>
      </c>
      <c r="L34" t="str">
        <f t="shared" si="0"/>
        <v>Alto</v>
      </c>
      <c r="M34" t="s">
        <v>256</v>
      </c>
      <c r="N34" t="s">
        <v>257</v>
      </c>
      <c r="O34" t="s">
        <v>30</v>
      </c>
      <c r="P34" t="s">
        <v>31</v>
      </c>
      <c r="Q34" s="1">
        <v>45965</v>
      </c>
      <c r="R34" t="s">
        <v>258</v>
      </c>
      <c r="S34" t="s">
        <v>259</v>
      </c>
      <c r="T34" t="s">
        <v>78</v>
      </c>
      <c r="U34" t="s">
        <v>27</v>
      </c>
    </row>
    <row r="35" spans="2:21" x14ac:dyDescent="0.25">
      <c r="B35" t="s">
        <v>260</v>
      </c>
      <c r="C35" t="s">
        <v>261</v>
      </c>
      <c r="D35" t="s">
        <v>262</v>
      </c>
      <c r="E35" t="s">
        <v>241</v>
      </c>
      <c r="F35" t="s">
        <v>263</v>
      </c>
      <c r="G35" t="s">
        <v>264</v>
      </c>
      <c r="H35" t="s">
        <v>265</v>
      </c>
      <c r="I35">
        <v>4</v>
      </c>
      <c r="J35">
        <v>5</v>
      </c>
      <c r="K35">
        <f>matriz_Riesgos__2[[#This Row],[Probabilidad (1-5)]]*matriz_Riesgos__2[[#This Row],[Impacto (1-5)]]</f>
        <v>20</v>
      </c>
      <c r="L35" t="str">
        <f t="shared" si="0"/>
        <v>Crítico</v>
      </c>
      <c r="M35" t="s">
        <v>266</v>
      </c>
      <c r="N35" t="s">
        <v>267</v>
      </c>
      <c r="O35" t="s">
        <v>96</v>
      </c>
      <c r="P35" t="s">
        <v>31</v>
      </c>
      <c r="Q35" s="1">
        <v>45952</v>
      </c>
      <c r="R35" t="s">
        <v>268</v>
      </c>
      <c r="S35" t="s">
        <v>269</v>
      </c>
      <c r="T35" t="s">
        <v>78</v>
      </c>
      <c r="U35" t="s">
        <v>27</v>
      </c>
    </row>
    <row r="36" spans="2:21" x14ac:dyDescent="0.25">
      <c r="B36" t="s">
        <v>270</v>
      </c>
      <c r="C36" t="s">
        <v>271</v>
      </c>
      <c r="D36" t="s">
        <v>272</v>
      </c>
      <c r="E36" t="s">
        <v>241</v>
      </c>
      <c r="F36" t="s">
        <v>273</v>
      </c>
      <c r="G36" t="s">
        <v>274</v>
      </c>
      <c r="H36" t="s">
        <v>275</v>
      </c>
      <c r="I36">
        <v>3</v>
      </c>
      <c r="J36">
        <v>5</v>
      </c>
      <c r="K36">
        <f>matriz_Riesgos__2[[#This Row],[Probabilidad (1-5)]]*matriz_Riesgos__2[[#This Row],[Impacto (1-5)]]</f>
        <v>15</v>
      </c>
      <c r="L36" t="str">
        <f t="shared" si="0"/>
        <v>Alto</v>
      </c>
      <c r="M36" t="s">
        <v>266</v>
      </c>
      <c r="N36" t="s">
        <v>276</v>
      </c>
      <c r="O36" t="s">
        <v>154</v>
      </c>
      <c r="P36" t="s">
        <v>31</v>
      </c>
      <c r="Q36" s="1">
        <v>45961</v>
      </c>
      <c r="R36" t="s">
        <v>443</v>
      </c>
      <c r="S36" t="s">
        <v>456</v>
      </c>
      <c r="T36" t="s">
        <v>431</v>
      </c>
      <c r="U36" t="s">
        <v>437</v>
      </c>
    </row>
    <row r="37" spans="2:21" x14ac:dyDescent="0.25">
      <c r="B37" t="s">
        <v>277</v>
      </c>
      <c r="C37" t="s">
        <v>278</v>
      </c>
      <c r="D37" t="s">
        <v>279</v>
      </c>
      <c r="E37" t="s">
        <v>241</v>
      </c>
      <c r="F37" t="s">
        <v>280</v>
      </c>
      <c r="G37" t="s">
        <v>281</v>
      </c>
      <c r="H37" t="s">
        <v>282</v>
      </c>
      <c r="I37">
        <v>3</v>
      </c>
      <c r="J37">
        <v>4</v>
      </c>
      <c r="K37">
        <f>matriz_Riesgos__2[[#This Row],[Probabilidad (1-5)]]*matriz_Riesgos__2[[#This Row],[Impacto (1-5)]]</f>
        <v>12</v>
      </c>
      <c r="L37" t="str">
        <f t="shared" si="0"/>
        <v>Alto</v>
      </c>
      <c r="M37" t="s">
        <v>245</v>
      </c>
      <c r="N37" t="s">
        <v>283</v>
      </c>
      <c r="O37" t="s">
        <v>107</v>
      </c>
      <c r="P37" t="s">
        <v>31</v>
      </c>
      <c r="Q37" s="1">
        <v>45980</v>
      </c>
      <c r="R37" t="s">
        <v>444</v>
      </c>
      <c r="S37" t="s">
        <v>457</v>
      </c>
      <c r="T37" t="s">
        <v>432</v>
      </c>
      <c r="U37" t="s">
        <v>438</v>
      </c>
    </row>
    <row r="38" spans="2:21" x14ac:dyDescent="0.25">
      <c r="B38" t="s">
        <v>284</v>
      </c>
      <c r="C38" t="s">
        <v>285</v>
      </c>
      <c r="D38" t="s">
        <v>286</v>
      </c>
      <c r="E38" t="s">
        <v>241</v>
      </c>
      <c r="F38" t="s">
        <v>287</v>
      </c>
      <c r="G38" t="s">
        <v>288</v>
      </c>
      <c r="H38" t="s">
        <v>289</v>
      </c>
      <c r="I38">
        <v>4</v>
      </c>
      <c r="J38">
        <v>3</v>
      </c>
      <c r="K38">
        <f>matriz_Riesgos__2[[#This Row],[Probabilidad (1-5)]]*matriz_Riesgos__2[[#This Row],[Impacto (1-5)]]</f>
        <v>12</v>
      </c>
      <c r="L38" t="str">
        <f t="shared" si="0"/>
        <v>Alto</v>
      </c>
      <c r="M38" t="s">
        <v>256</v>
      </c>
      <c r="N38" t="s">
        <v>290</v>
      </c>
      <c r="O38" t="s">
        <v>107</v>
      </c>
      <c r="P38" t="s">
        <v>31</v>
      </c>
      <c r="Q38" s="1">
        <v>45958</v>
      </c>
      <c r="R38" t="s">
        <v>445</v>
      </c>
      <c r="S38" t="s">
        <v>458</v>
      </c>
      <c r="T38" t="s">
        <v>78</v>
      </c>
      <c r="U38" t="s">
        <v>437</v>
      </c>
    </row>
    <row r="39" spans="2:21" x14ac:dyDescent="0.25">
      <c r="B39" t="s">
        <v>291</v>
      </c>
      <c r="C39" t="s">
        <v>292</v>
      </c>
      <c r="D39" t="s">
        <v>293</v>
      </c>
      <c r="E39" t="s">
        <v>241</v>
      </c>
      <c r="F39" t="s">
        <v>294</v>
      </c>
      <c r="G39" t="s">
        <v>295</v>
      </c>
      <c r="H39" t="s">
        <v>296</v>
      </c>
      <c r="I39">
        <v>2</v>
      </c>
      <c r="J39">
        <v>5</v>
      </c>
      <c r="K39">
        <f>matriz_Riesgos__2[[#This Row],[Probabilidad (1-5)]]*matriz_Riesgos__2[[#This Row],[Impacto (1-5)]]</f>
        <v>10</v>
      </c>
      <c r="L39" t="str">
        <f t="shared" si="0"/>
        <v>Medio</v>
      </c>
      <c r="M39" t="s">
        <v>245</v>
      </c>
      <c r="N39" t="s">
        <v>297</v>
      </c>
      <c r="O39" t="s">
        <v>154</v>
      </c>
      <c r="P39" t="s">
        <v>31</v>
      </c>
      <c r="Q39" s="1">
        <v>45995</v>
      </c>
      <c r="R39" t="s">
        <v>446</v>
      </c>
      <c r="S39" t="s">
        <v>459</v>
      </c>
      <c r="T39" t="s">
        <v>433</v>
      </c>
      <c r="U39" t="s">
        <v>439</v>
      </c>
    </row>
    <row r="40" spans="2:21" x14ac:dyDescent="0.25">
      <c r="B40" t="s">
        <v>298</v>
      </c>
      <c r="C40" t="s">
        <v>299</v>
      </c>
      <c r="D40" t="s">
        <v>300</v>
      </c>
      <c r="E40" t="s">
        <v>241</v>
      </c>
      <c r="F40" t="s">
        <v>301</v>
      </c>
      <c r="G40" t="s">
        <v>302</v>
      </c>
      <c r="H40" t="s">
        <v>303</v>
      </c>
      <c r="I40">
        <v>4</v>
      </c>
      <c r="J40">
        <v>4</v>
      </c>
      <c r="K40">
        <f>matriz_Riesgos__2[[#This Row],[Probabilidad (1-5)]]*matriz_Riesgos__2[[#This Row],[Impacto (1-5)]]</f>
        <v>16</v>
      </c>
      <c r="L40" t="str">
        <f t="shared" si="0"/>
        <v>Alto</v>
      </c>
      <c r="M40" t="s">
        <v>256</v>
      </c>
      <c r="N40" t="s">
        <v>304</v>
      </c>
      <c r="O40" t="s">
        <v>42</v>
      </c>
      <c r="P40" t="s">
        <v>31</v>
      </c>
      <c r="Q40" s="1">
        <v>45954</v>
      </c>
      <c r="R40" t="s">
        <v>447</v>
      </c>
      <c r="S40" t="s">
        <v>460</v>
      </c>
      <c r="T40" t="s">
        <v>78</v>
      </c>
      <c r="U40" t="s">
        <v>440</v>
      </c>
    </row>
    <row r="41" spans="2:21" x14ac:dyDescent="0.25">
      <c r="B41" t="s">
        <v>305</v>
      </c>
      <c r="C41" t="s">
        <v>306</v>
      </c>
      <c r="D41" t="s">
        <v>307</v>
      </c>
      <c r="E41" t="s">
        <v>241</v>
      </c>
      <c r="F41" t="s">
        <v>308</v>
      </c>
      <c r="G41" t="s">
        <v>309</v>
      </c>
      <c r="H41" t="s">
        <v>310</v>
      </c>
      <c r="I41">
        <v>3</v>
      </c>
      <c r="J41">
        <v>4</v>
      </c>
      <c r="K41">
        <f>matriz_Riesgos__2[[#This Row],[Probabilidad (1-5)]]*matriz_Riesgos__2[[#This Row],[Impacto (1-5)]]</f>
        <v>12</v>
      </c>
      <c r="L41" t="str">
        <f t="shared" si="0"/>
        <v>Alto</v>
      </c>
      <c r="M41" t="s">
        <v>256</v>
      </c>
      <c r="N41" t="s">
        <v>311</v>
      </c>
      <c r="O41" t="s">
        <v>30</v>
      </c>
      <c r="P41" t="s">
        <v>31</v>
      </c>
      <c r="Q41" s="1">
        <v>45985</v>
      </c>
      <c r="R41" t="s">
        <v>448</v>
      </c>
      <c r="S41" t="s">
        <v>461</v>
      </c>
      <c r="T41" t="s">
        <v>434</v>
      </c>
      <c r="U41" t="s">
        <v>437</v>
      </c>
    </row>
    <row r="42" spans="2:21" x14ac:dyDescent="0.25">
      <c r="B42" t="s">
        <v>312</v>
      </c>
      <c r="C42" t="s">
        <v>313</v>
      </c>
      <c r="D42" t="s">
        <v>314</v>
      </c>
      <c r="E42" t="s">
        <v>241</v>
      </c>
      <c r="F42" t="s">
        <v>315</v>
      </c>
      <c r="G42" t="s">
        <v>316</v>
      </c>
      <c r="H42" t="s">
        <v>317</v>
      </c>
      <c r="I42">
        <v>4</v>
      </c>
      <c r="J42">
        <v>3</v>
      </c>
      <c r="K42">
        <f>matriz_Riesgos__2[[#This Row],[Probabilidad (1-5)]]*matriz_Riesgos__2[[#This Row],[Impacto (1-5)]]</f>
        <v>12</v>
      </c>
      <c r="L42" t="str">
        <f t="shared" si="0"/>
        <v>Alto</v>
      </c>
      <c r="M42" t="s">
        <v>266</v>
      </c>
      <c r="N42" t="s">
        <v>318</v>
      </c>
      <c r="O42" t="s">
        <v>107</v>
      </c>
      <c r="P42" t="s">
        <v>31</v>
      </c>
      <c r="Q42" s="1">
        <v>45949</v>
      </c>
      <c r="R42" t="s">
        <v>449</v>
      </c>
      <c r="S42" t="s">
        <v>462</v>
      </c>
      <c r="T42" t="s">
        <v>78</v>
      </c>
      <c r="U42" t="s">
        <v>441</v>
      </c>
    </row>
    <row r="43" spans="2:21" x14ac:dyDescent="0.25">
      <c r="B43" t="s">
        <v>319</v>
      </c>
      <c r="C43" t="s">
        <v>320</v>
      </c>
      <c r="D43" t="s">
        <v>321</v>
      </c>
      <c r="E43" t="s">
        <v>241</v>
      </c>
      <c r="F43" t="s">
        <v>322</v>
      </c>
      <c r="G43" t="s">
        <v>323</v>
      </c>
      <c r="H43" t="s">
        <v>324</v>
      </c>
      <c r="I43">
        <v>3</v>
      </c>
      <c r="J43">
        <v>5</v>
      </c>
      <c r="K43">
        <f>matriz_Riesgos__2[[#This Row],[Probabilidad (1-5)]]*matriz_Riesgos__2[[#This Row],[Impacto (1-5)]]</f>
        <v>15</v>
      </c>
      <c r="L43" t="str">
        <f t="shared" si="0"/>
        <v>Alto</v>
      </c>
      <c r="M43" t="s">
        <v>266</v>
      </c>
      <c r="N43" t="s">
        <v>325</v>
      </c>
      <c r="O43" t="s">
        <v>96</v>
      </c>
      <c r="P43" t="s">
        <v>31</v>
      </c>
      <c r="Q43" s="1">
        <v>45969</v>
      </c>
      <c r="R43" t="s">
        <v>450</v>
      </c>
      <c r="S43" t="s">
        <v>463</v>
      </c>
      <c r="T43" t="s">
        <v>435</v>
      </c>
      <c r="U43" t="s">
        <v>437</v>
      </c>
    </row>
    <row r="44" spans="2:21" x14ac:dyDescent="0.25">
      <c r="B44" t="s">
        <v>326</v>
      </c>
      <c r="C44" t="s">
        <v>327</v>
      </c>
      <c r="D44" t="s">
        <v>328</v>
      </c>
      <c r="E44" t="s">
        <v>241</v>
      </c>
      <c r="F44" t="s">
        <v>329</v>
      </c>
      <c r="G44" t="s">
        <v>330</v>
      </c>
      <c r="H44" t="s">
        <v>331</v>
      </c>
      <c r="I44">
        <v>4</v>
      </c>
      <c r="J44">
        <v>3</v>
      </c>
      <c r="K44">
        <f>matriz_Riesgos__2[[#This Row],[Probabilidad (1-5)]]*matriz_Riesgos__2[[#This Row],[Impacto (1-5)]]</f>
        <v>12</v>
      </c>
      <c r="L44" t="str">
        <f t="shared" si="0"/>
        <v>Alto</v>
      </c>
      <c r="M44" t="s">
        <v>256</v>
      </c>
      <c r="N44" t="s">
        <v>332</v>
      </c>
      <c r="O44" t="s">
        <v>30</v>
      </c>
      <c r="P44" t="s">
        <v>31</v>
      </c>
      <c r="Q44" s="1">
        <v>45963</v>
      </c>
      <c r="R44" t="s">
        <v>451</v>
      </c>
      <c r="S44" t="s">
        <v>464</v>
      </c>
      <c r="T44" t="s">
        <v>137</v>
      </c>
      <c r="U44" t="s">
        <v>437</v>
      </c>
    </row>
    <row r="45" spans="2:21" x14ac:dyDescent="0.25">
      <c r="B45" t="s">
        <v>333</v>
      </c>
      <c r="C45" t="s">
        <v>334</v>
      </c>
      <c r="D45" t="s">
        <v>335</v>
      </c>
      <c r="E45" t="s">
        <v>241</v>
      </c>
      <c r="F45" t="s">
        <v>336</v>
      </c>
      <c r="G45" t="s">
        <v>337</v>
      </c>
      <c r="H45" t="s">
        <v>338</v>
      </c>
      <c r="I45">
        <v>2</v>
      </c>
      <c r="J45">
        <v>4</v>
      </c>
      <c r="K45">
        <f>matriz_Riesgos__2[[#This Row],[Probabilidad (1-5)]]*matriz_Riesgos__2[[#This Row],[Impacto (1-5)]]</f>
        <v>8</v>
      </c>
      <c r="L45" t="str">
        <f t="shared" si="0"/>
        <v>Medio</v>
      </c>
      <c r="M45" t="s">
        <v>245</v>
      </c>
      <c r="N45" t="s">
        <v>339</v>
      </c>
      <c r="O45" t="s">
        <v>191</v>
      </c>
      <c r="P45" t="s">
        <v>31</v>
      </c>
      <c r="Q45" s="1">
        <v>45991</v>
      </c>
      <c r="R45" t="s">
        <v>452</v>
      </c>
      <c r="S45" t="s">
        <v>465</v>
      </c>
      <c r="T45" t="s">
        <v>78</v>
      </c>
      <c r="U45" t="s">
        <v>442</v>
      </c>
    </row>
    <row r="46" spans="2:21" x14ac:dyDescent="0.25">
      <c r="B46" t="s">
        <v>340</v>
      </c>
      <c r="C46" t="s">
        <v>341</v>
      </c>
      <c r="D46" t="s">
        <v>342</v>
      </c>
      <c r="E46" t="s">
        <v>241</v>
      </c>
      <c r="F46" t="s">
        <v>343</v>
      </c>
      <c r="G46" t="s">
        <v>344</v>
      </c>
      <c r="H46" t="s">
        <v>345</v>
      </c>
      <c r="I46">
        <v>3</v>
      </c>
      <c r="J46">
        <v>4</v>
      </c>
      <c r="K46">
        <f>matriz_Riesgos__2[[#This Row],[Probabilidad (1-5)]]*matriz_Riesgos__2[[#This Row],[Impacto (1-5)]]</f>
        <v>12</v>
      </c>
      <c r="L46" t="str">
        <f t="shared" si="0"/>
        <v>Alto</v>
      </c>
      <c r="M46" t="s">
        <v>245</v>
      </c>
      <c r="N46" t="s">
        <v>346</v>
      </c>
      <c r="O46" t="s">
        <v>191</v>
      </c>
      <c r="P46" t="s">
        <v>31</v>
      </c>
      <c r="Q46" s="1">
        <v>45979</v>
      </c>
      <c r="R46" t="s">
        <v>453</v>
      </c>
      <c r="S46" t="s">
        <v>466</v>
      </c>
      <c r="T46" t="s">
        <v>436</v>
      </c>
      <c r="U46" t="s">
        <v>437</v>
      </c>
    </row>
    <row r="47" spans="2:21" x14ac:dyDescent="0.25">
      <c r="B47" t="s">
        <v>394</v>
      </c>
      <c r="C47" t="s">
        <v>395</v>
      </c>
      <c r="D47" t="s">
        <v>396</v>
      </c>
      <c r="E47" t="s">
        <v>241</v>
      </c>
      <c r="F47" t="s">
        <v>397</v>
      </c>
      <c r="G47" t="s">
        <v>398</v>
      </c>
      <c r="H47" t="s">
        <v>399</v>
      </c>
      <c r="I47">
        <v>3</v>
      </c>
      <c r="J47">
        <v>4</v>
      </c>
      <c r="K47">
        <f>matriz_Riesgos__2[[#This Row],[Probabilidad (1-5)]]*matriz_Riesgos__2[[#This Row],[Impacto (1-5)]]</f>
        <v>12</v>
      </c>
      <c r="L47" t="str">
        <f t="shared" si="0"/>
        <v>Alto</v>
      </c>
      <c r="M47" t="s">
        <v>256</v>
      </c>
      <c r="N47" t="s">
        <v>400</v>
      </c>
      <c r="O47" t="s">
        <v>96</v>
      </c>
      <c r="P47" t="s">
        <v>31</v>
      </c>
      <c r="Q47" s="1">
        <v>45969</v>
      </c>
      <c r="R47" t="s">
        <v>454</v>
      </c>
      <c r="S47" t="s">
        <v>467</v>
      </c>
      <c r="T47" t="s">
        <v>137</v>
      </c>
      <c r="U47" t="s">
        <v>437</v>
      </c>
    </row>
    <row r="48" spans="2:21" x14ac:dyDescent="0.25">
      <c r="B48" t="s">
        <v>401</v>
      </c>
      <c r="C48" t="s">
        <v>402</v>
      </c>
      <c r="D48" t="s">
        <v>403</v>
      </c>
      <c r="E48" t="s">
        <v>241</v>
      </c>
      <c r="F48" t="s">
        <v>404</v>
      </c>
      <c r="G48" t="s">
        <v>405</v>
      </c>
      <c r="H48" t="s">
        <v>51</v>
      </c>
      <c r="I48">
        <v>4</v>
      </c>
      <c r="J48">
        <v>3</v>
      </c>
      <c r="K48">
        <f>matriz_Riesgos__2[[#This Row],[Probabilidad (1-5)]]*matriz_Riesgos__2[[#This Row],[Impacto (1-5)]]</f>
        <v>12</v>
      </c>
      <c r="L48" t="str">
        <f t="shared" si="0"/>
        <v>Alto</v>
      </c>
      <c r="M48" t="s">
        <v>256</v>
      </c>
      <c r="N48" t="s">
        <v>406</v>
      </c>
      <c r="O48" t="s">
        <v>30</v>
      </c>
      <c r="P48" t="s">
        <v>31</v>
      </c>
      <c r="Q48" s="1">
        <v>45964</v>
      </c>
      <c r="R48" t="s">
        <v>455</v>
      </c>
      <c r="S48" t="s">
        <v>468</v>
      </c>
      <c r="T48" t="s">
        <v>66</v>
      </c>
      <c r="U48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FF1E2E-2703-4AF4-9218-99FB5AE6FA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matriz_Riesgos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Cerón Reyes</dc:creator>
  <cp:lastModifiedBy>Benjamín Cerón Reyes</cp:lastModifiedBy>
  <dcterms:created xsi:type="dcterms:W3CDTF">2025-09-25T17:08:58Z</dcterms:created>
  <dcterms:modified xsi:type="dcterms:W3CDTF">2025-09-25T18:16:47Z</dcterms:modified>
</cp:coreProperties>
</file>