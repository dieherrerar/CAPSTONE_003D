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v6wyJj386ro/bz8ZsYIo+cGTmPft77amLhuBaRJ19y4="/>
    </ext>
  </extLst>
</workbook>
</file>

<file path=xl/sharedStrings.xml><?xml version="1.0" encoding="utf-8"?>
<sst xmlns="http://schemas.openxmlformats.org/spreadsheetml/2006/main" count="18" uniqueCount="18">
  <si>
    <t>Tarea</t>
  </si>
  <si>
    <t>Horas Estimadas</t>
  </si>
  <si>
    <t>Día del Sprint</t>
  </si>
  <si>
    <t>Total</t>
  </si>
  <si>
    <t>Configuración del repositorio del proyecto</t>
  </si>
  <si>
    <t>Creación del entorno virtual y dependencias</t>
  </si>
  <si>
    <t>Configurar base de datos PostgreSQL</t>
  </si>
  <si>
    <t>Definir arquitectura del sistema</t>
  </si>
  <si>
    <t>Integrar Trello y definir Product Backlog inicial</t>
  </si>
  <si>
    <t>Configurar canal de comunicación</t>
  </si>
  <si>
    <t>Creación de documento de riesgos iniciales</t>
  </si>
  <si>
    <t>Diseño de pipeline de datos (Pub/Sub + DataFlow base)</t>
  </si>
  <si>
    <t>Documentación técnica inicial</t>
  </si>
  <si>
    <t>Pruebas al entorno preparado</t>
  </si>
  <si>
    <t>Horas totales</t>
  </si>
  <si>
    <t>Día</t>
  </si>
  <si>
    <t>ideal</t>
  </si>
  <si>
    <t>Real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</si>
</sst>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1.0"/>
      <color theme="1"/>
      <name val="Calibri"/>
      <scheme val="minor"/>
    </font>
    <font>
      <sz val="11.0"/>
      <color theme="1"/>
      <name val="Calibri"/>
    </font>
    <font/>
  </fonts>
  <fills count="8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rgb="FF75BD75"/>
        <bgColor rgb="FF75BD75"/>
      </patternFill>
    </fill>
    <fill>
      <patternFill patternType="solid">
        <fgColor rgb="FFC5E0B3"/>
        <bgColor rgb="FFC5E0B3"/>
      </patternFill>
    </fill>
    <fill>
      <patternFill patternType="solid">
        <fgColor rgb="FF00B050"/>
        <bgColor rgb="FF00B050"/>
      </patternFill>
    </fill>
    <fill>
      <patternFill patternType="solid">
        <fgColor theme="5"/>
        <bgColor theme="5"/>
      </patternFill>
    </fill>
    <fill>
      <patternFill patternType="solid">
        <fgColor theme="4"/>
        <bgColor theme="4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2" fontId="1" numFmtId="0" xfId="0" applyAlignment="1" applyBorder="1" applyFont="1">
      <alignment horizontal="center" vertical="center"/>
    </xf>
    <xf borderId="6" fillId="3" fontId="1" numFmtId="0" xfId="0" applyAlignment="1" applyBorder="1" applyFill="1" applyFont="1">
      <alignment horizontal="center" vertical="center"/>
    </xf>
    <xf borderId="6" fillId="4" fontId="1" numFmtId="0" xfId="0" applyAlignment="1" applyBorder="1" applyFill="1" applyFont="1">
      <alignment horizontal="center" vertical="center"/>
    </xf>
    <xf borderId="6" fillId="2" fontId="1" numFmtId="0" xfId="0" applyBorder="1" applyFont="1"/>
    <xf borderId="6" fillId="2" fontId="1" numFmtId="0" xfId="0" applyAlignment="1" applyBorder="1" applyFont="1">
      <alignment horizontal="center"/>
    </xf>
    <xf borderId="6" fillId="5" fontId="1" numFmtId="0" xfId="0" applyAlignment="1" applyBorder="1" applyFill="1" applyFont="1">
      <alignment horizontal="center" vertical="center"/>
    </xf>
    <xf borderId="6" fillId="6" fontId="1" numFmtId="1" xfId="0" applyAlignment="1" applyBorder="1" applyFill="1" applyFont="1" applyNumberFormat="1">
      <alignment horizontal="center" vertical="center"/>
    </xf>
    <xf borderId="6" fillId="7" fontId="1" numFmtId="1" xfId="0" applyAlignment="1" applyBorder="1" applyFill="1" applyFont="1" applyNumberFormat="1">
      <alignment horizontal="center" vertical="center"/>
    </xf>
    <xf borderId="0" fillId="0" fontId="1" numFmtId="164" xfId="0" applyFont="1" applyNumberFormat="1"/>
    <xf borderId="0" fillId="0" fontId="1" numFmtId="0" xfId="0" applyFont="1"/>
    <xf borderId="0" fillId="0" fontId="1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Burndown chart - Sprint 0</a:t>
            </a:r>
          </a:p>
        </c:rich>
      </c:tx>
      <c:overlay val="0"/>
    </c:title>
    <c:plotArea>
      <c:layout/>
      <c:lineChart>
        <c:ser>
          <c:idx val="0"/>
          <c:order val="0"/>
          <c:tx>
            <c:v>Ideal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Hoja1!$B$34:$B$39</c:f>
            </c:strRef>
          </c:cat>
          <c:val>
            <c:numRef>
              <c:f>Hoja1!$C$34:$C$39</c:f>
              <c:numCache/>
            </c:numRef>
          </c:val>
          <c:smooth val="0"/>
        </c:ser>
        <c:ser>
          <c:idx val="1"/>
          <c:order val="1"/>
          <c:tx>
            <c:v>Real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Hoja1!$B$34:$B$39</c:f>
            </c:strRef>
          </c:cat>
          <c:val>
            <c:numRef>
              <c:f>Hoja1!$D$34:$D$39</c:f>
              <c:numCache/>
            </c:numRef>
          </c:val>
          <c:smooth val="0"/>
        </c:ser>
        <c:axId val="2109750809"/>
        <c:axId val="421698878"/>
      </c:lineChart>
      <c:catAx>
        <c:axId val="21097508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21698878"/>
      </c:catAx>
      <c:valAx>
        <c:axId val="4216988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09750809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16</xdr:row>
      <xdr:rowOff>38100</xdr:rowOff>
    </xdr:from>
    <xdr:ext cx="4867275" cy="2790825"/>
    <xdr:graphicFrame>
      <xdr:nvGraphicFramePr>
        <xdr:cNvPr id="20148482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52.43"/>
    <col customWidth="1" min="3" max="3" width="15.29"/>
    <col customWidth="1" min="4" max="4" width="5.71"/>
    <col customWidth="1" min="5" max="7" width="5.29"/>
    <col customWidth="1" min="8" max="8" width="5.0"/>
    <col customWidth="1" min="9" max="11" width="9.14"/>
  </cols>
  <sheetData>
    <row r="3">
      <c r="B3" s="1" t="s">
        <v>0</v>
      </c>
      <c r="C3" s="1" t="s">
        <v>1</v>
      </c>
      <c r="D3" s="2" t="s">
        <v>2</v>
      </c>
      <c r="E3" s="3"/>
      <c r="F3" s="3"/>
      <c r="G3" s="3"/>
      <c r="H3" s="4"/>
      <c r="I3" s="1" t="s">
        <v>3</v>
      </c>
    </row>
    <row r="4">
      <c r="B4" s="5"/>
      <c r="C4" s="5"/>
      <c r="D4" s="6">
        <v>1.0</v>
      </c>
      <c r="E4" s="6">
        <v>2.0</v>
      </c>
      <c r="F4" s="6">
        <v>3.0</v>
      </c>
      <c r="G4" s="6">
        <v>4.0</v>
      </c>
      <c r="H4" s="6">
        <v>5.0</v>
      </c>
      <c r="I4" s="5"/>
    </row>
    <row r="5">
      <c r="B5" s="7" t="s">
        <v>4</v>
      </c>
      <c r="C5" s="7">
        <v>3.0</v>
      </c>
      <c r="D5" s="7">
        <v>2.0</v>
      </c>
      <c r="E5" s="7">
        <v>1.0</v>
      </c>
      <c r="F5" s="7">
        <v>0.0</v>
      </c>
      <c r="G5" s="7">
        <v>0.0</v>
      </c>
      <c r="H5" s="7">
        <v>0.0</v>
      </c>
      <c r="I5" s="8">
        <f t="shared" ref="I5:I14" si="1">SUM(D5:H5)</f>
        <v>3</v>
      </c>
    </row>
    <row r="6">
      <c r="B6" s="7" t="s">
        <v>5</v>
      </c>
      <c r="C6" s="7">
        <v>4.0</v>
      </c>
      <c r="D6" s="7">
        <v>0.0</v>
      </c>
      <c r="E6" s="7">
        <v>1.0</v>
      </c>
      <c r="F6" s="7">
        <v>2.0</v>
      </c>
      <c r="G6" s="7">
        <v>1.0</v>
      </c>
      <c r="H6" s="7">
        <v>0.0</v>
      </c>
      <c r="I6" s="8">
        <f t="shared" si="1"/>
        <v>4</v>
      </c>
    </row>
    <row r="7">
      <c r="B7" s="7" t="s">
        <v>6</v>
      </c>
      <c r="C7" s="7">
        <v>5.0</v>
      </c>
      <c r="D7" s="7">
        <v>1.0</v>
      </c>
      <c r="E7" s="7">
        <v>1.0</v>
      </c>
      <c r="F7" s="7">
        <v>0.0</v>
      </c>
      <c r="G7" s="7">
        <v>2.0</v>
      </c>
      <c r="H7" s="7">
        <v>1.0</v>
      </c>
      <c r="I7" s="8">
        <f t="shared" si="1"/>
        <v>5</v>
      </c>
    </row>
    <row r="8">
      <c r="B8" s="7" t="s">
        <v>7</v>
      </c>
      <c r="C8" s="7">
        <v>3.0</v>
      </c>
      <c r="D8" s="7">
        <v>0.0</v>
      </c>
      <c r="E8" s="7">
        <v>2.0</v>
      </c>
      <c r="F8" s="7">
        <v>1.0</v>
      </c>
      <c r="G8" s="7">
        <v>0.0</v>
      </c>
      <c r="H8" s="7">
        <v>0.0</v>
      </c>
      <c r="I8" s="8">
        <f t="shared" si="1"/>
        <v>3</v>
      </c>
    </row>
    <row r="9">
      <c r="B9" s="7" t="s">
        <v>8</v>
      </c>
      <c r="C9" s="7">
        <v>2.0</v>
      </c>
      <c r="D9" s="7">
        <v>0.0</v>
      </c>
      <c r="E9" s="7">
        <v>0.0</v>
      </c>
      <c r="F9" s="7">
        <v>0.0</v>
      </c>
      <c r="G9" s="7">
        <v>1.0</v>
      </c>
      <c r="H9" s="7">
        <v>1.0</v>
      </c>
      <c r="I9" s="8">
        <f t="shared" si="1"/>
        <v>2</v>
      </c>
    </row>
    <row r="10">
      <c r="B10" s="7" t="s">
        <v>9</v>
      </c>
      <c r="C10" s="7">
        <v>1.0</v>
      </c>
      <c r="D10" s="7">
        <v>0.0</v>
      </c>
      <c r="E10" s="7">
        <v>0.0</v>
      </c>
      <c r="F10" s="7">
        <v>1.0</v>
      </c>
      <c r="G10" s="7">
        <v>0.0</v>
      </c>
      <c r="H10" s="7">
        <v>0.0</v>
      </c>
      <c r="I10" s="8">
        <f t="shared" si="1"/>
        <v>1</v>
      </c>
    </row>
    <row r="11">
      <c r="B11" s="7" t="s">
        <v>10</v>
      </c>
      <c r="C11" s="7">
        <v>3.0</v>
      </c>
      <c r="D11" s="7">
        <v>0.0</v>
      </c>
      <c r="E11" s="7">
        <v>0.0</v>
      </c>
      <c r="F11" s="7">
        <v>0.0</v>
      </c>
      <c r="G11" s="7">
        <v>2.0</v>
      </c>
      <c r="H11" s="7">
        <v>1.0</v>
      </c>
      <c r="I11" s="8">
        <f t="shared" si="1"/>
        <v>3</v>
      </c>
    </row>
    <row r="12">
      <c r="B12" s="7" t="s">
        <v>11</v>
      </c>
      <c r="C12" s="7">
        <v>5.0</v>
      </c>
      <c r="D12" s="7">
        <v>2.0</v>
      </c>
      <c r="E12" s="7">
        <v>1.0</v>
      </c>
      <c r="F12" s="7">
        <v>1.0</v>
      </c>
      <c r="G12" s="7">
        <v>1.0</v>
      </c>
      <c r="H12" s="7">
        <v>0.0</v>
      </c>
      <c r="I12" s="8">
        <f t="shared" si="1"/>
        <v>5</v>
      </c>
    </row>
    <row r="13">
      <c r="B13" s="7" t="s">
        <v>12</v>
      </c>
      <c r="C13" s="7">
        <v>3.0</v>
      </c>
      <c r="D13" s="7">
        <v>0.0</v>
      </c>
      <c r="E13" s="7">
        <v>1.0</v>
      </c>
      <c r="F13" s="7">
        <v>1.0</v>
      </c>
      <c r="G13" s="7">
        <v>1.0</v>
      </c>
      <c r="H13" s="7">
        <v>0.0</v>
      </c>
      <c r="I13" s="8">
        <f t="shared" si="1"/>
        <v>3</v>
      </c>
    </row>
    <row r="14">
      <c r="B14" s="7" t="s">
        <v>13</v>
      </c>
      <c r="C14" s="7">
        <v>5.0</v>
      </c>
      <c r="D14" s="7">
        <v>0.0</v>
      </c>
      <c r="E14" s="7">
        <v>0.0</v>
      </c>
      <c r="F14" s="7">
        <v>0.0</v>
      </c>
      <c r="G14" s="7">
        <v>2.0</v>
      </c>
      <c r="H14" s="7">
        <v>3.0</v>
      </c>
      <c r="I14" s="8">
        <f t="shared" si="1"/>
        <v>5</v>
      </c>
    </row>
    <row r="15">
      <c r="B15" s="9" t="s">
        <v>14</v>
      </c>
      <c r="C15" s="6">
        <f>SUM($C$5:$C$14)</f>
        <v>34</v>
      </c>
      <c r="D15" s="6">
        <f t="shared" ref="D15:I15" si="2">SUM(D5:D14)</f>
        <v>5</v>
      </c>
      <c r="E15" s="6">
        <f t="shared" si="2"/>
        <v>7</v>
      </c>
      <c r="F15" s="6">
        <f t="shared" si="2"/>
        <v>6</v>
      </c>
      <c r="G15" s="6">
        <f t="shared" si="2"/>
        <v>10</v>
      </c>
      <c r="H15" s="6">
        <f t="shared" si="2"/>
        <v>6</v>
      </c>
      <c r="I15" s="10">
        <f t="shared" si="2"/>
        <v>34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>
      <c r="B33" s="11" t="s">
        <v>15</v>
      </c>
      <c r="C33" s="11" t="s">
        <v>16</v>
      </c>
      <c r="D33" s="11" t="s">
        <v>17</v>
      </c>
    </row>
    <row r="34" ht="15.75" customHeight="1">
      <c r="B34" s="8">
        <v>0.0</v>
      </c>
      <c r="C34" s="12">
        <v>34.0</v>
      </c>
      <c r="D34" s="13">
        <v>34.0</v>
      </c>
    </row>
    <row r="35" ht="15.75" customHeight="1">
      <c r="B35" s="8">
        <v>1.0</v>
      </c>
      <c r="C35" s="12">
        <f t="shared" ref="C35:C39" si="3">C34-$C$41</f>
        <v>27.2</v>
      </c>
      <c r="D35" s="13">
        <f>D34-D15</f>
        <v>29</v>
      </c>
    </row>
    <row r="36" ht="15.75" customHeight="1">
      <c r="B36" s="8">
        <v>2.0</v>
      </c>
      <c r="C36" s="12">
        <f t="shared" si="3"/>
        <v>20.4</v>
      </c>
      <c r="D36" s="13">
        <f>D35 - E15</f>
        <v>22</v>
      </c>
    </row>
    <row r="37" ht="15.75" customHeight="1">
      <c r="B37" s="8">
        <v>3.0</v>
      </c>
      <c r="C37" s="12">
        <f t="shared" si="3"/>
        <v>13.6</v>
      </c>
      <c r="D37" s="13">
        <f>D36 - F15</f>
        <v>16</v>
      </c>
    </row>
    <row r="38" ht="15.75" customHeight="1">
      <c r="B38" s="8">
        <v>4.0</v>
      </c>
      <c r="C38" s="12">
        <f t="shared" si="3"/>
        <v>6.8</v>
      </c>
      <c r="D38" s="13">
        <f>D37 - G15</f>
        <v>6</v>
      </c>
    </row>
    <row r="39" ht="15.75" customHeight="1">
      <c r="B39" s="8">
        <v>5.0</v>
      </c>
      <c r="C39" s="12">
        <f t="shared" si="3"/>
        <v>0</v>
      </c>
      <c r="D39" s="13">
        <f>D38 - H15</f>
        <v>0</v>
      </c>
    </row>
    <row r="40" ht="15.75" customHeight="1"/>
    <row r="41" ht="15.75" customHeight="1">
      <c r="C41" s="14">
        <f>C34/5</f>
        <v>6.8</v>
      </c>
    </row>
    <row r="42" ht="15.75" customHeight="1">
      <c r="B42" s="15"/>
      <c r="C42" s="15"/>
      <c r="D42" s="15"/>
      <c r="E42" s="15"/>
      <c r="F42" s="15"/>
      <c r="G42" s="15"/>
      <c r="H42" s="15"/>
    </row>
    <row r="43" ht="15.75" customHeight="1">
      <c r="B43" s="15"/>
      <c r="C43" s="15"/>
      <c r="D43" s="15"/>
      <c r="E43" s="15"/>
      <c r="F43" s="15"/>
      <c r="G43" s="15"/>
      <c r="H43" s="15"/>
    </row>
    <row r="44" ht="15.75" customHeight="1">
      <c r="B44" s="15"/>
      <c r="C44" s="15"/>
      <c r="D44" s="15"/>
      <c r="E44" s="15"/>
      <c r="F44" s="15"/>
      <c r="G44" s="15"/>
      <c r="H44" s="15"/>
    </row>
    <row r="45" ht="15.75" customHeight="1">
      <c r="B45" s="15"/>
      <c r="C45" s="15"/>
      <c r="D45" s="15"/>
      <c r="E45" s="15"/>
      <c r="F45" s="15"/>
      <c r="G45" s="15"/>
      <c r="H45" s="15"/>
    </row>
    <row r="46" ht="15.75" customHeight="1">
      <c r="B46" s="15"/>
      <c r="C46" s="15"/>
      <c r="D46" s="15"/>
      <c r="E46" s="15"/>
      <c r="F46" s="15"/>
      <c r="G46" s="15"/>
      <c r="H46" s="15"/>
    </row>
    <row r="47" ht="15.75" customHeight="1">
      <c r="B47" s="15"/>
      <c r="C47" s="15"/>
      <c r="D47" s="15"/>
      <c r="E47" s="15"/>
      <c r="F47" s="15"/>
      <c r="G47" s="15"/>
      <c r="H47" s="15"/>
    </row>
    <row r="48" ht="15.75" customHeight="1">
      <c r="B48" s="15"/>
      <c r="C48" s="15"/>
      <c r="D48" s="15"/>
      <c r="E48" s="15"/>
      <c r="F48" s="15"/>
      <c r="G48" s="15"/>
      <c r="H48" s="15"/>
    </row>
    <row r="49" ht="15.75" customHeight="1">
      <c r="B49" s="15"/>
      <c r="C49" s="15"/>
      <c r="D49" s="15"/>
      <c r="E49" s="15"/>
      <c r="F49" s="15"/>
      <c r="G49" s="15"/>
      <c r="H49" s="15"/>
    </row>
    <row r="50" ht="15.75" customHeight="1">
      <c r="B50" s="15"/>
      <c r="C50" s="15"/>
      <c r="D50" s="15"/>
      <c r="E50" s="15"/>
      <c r="F50" s="15"/>
      <c r="G50" s="15"/>
      <c r="H50" s="15"/>
    </row>
    <row r="51" ht="15.75" customHeight="1">
      <c r="B51" s="15"/>
      <c r="C51" s="15"/>
      <c r="D51" s="15"/>
      <c r="E51" s="15"/>
      <c r="F51" s="15"/>
      <c r="G51" s="15"/>
      <c r="H51" s="15"/>
    </row>
    <row r="52" ht="15.75" customHeight="1">
      <c r="B52" s="15"/>
      <c r="C52" s="15"/>
      <c r="D52" s="15"/>
      <c r="E52" s="15"/>
      <c r="F52" s="15"/>
      <c r="G52" s="15"/>
      <c r="H52" s="15"/>
    </row>
    <row r="53" ht="15.75" customHeight="1">
      <c r="B53" s="15"/>
      <c r="C53" s="16"/>
      <c r="D53" s="15"/>
      <c r="E53" s="15"/>
      <c r="F53" s="15"/>
      <c r="G53" s="15"/>
      <c r="H53" s="15"/>
    </row>
    <row r="54" ht="15.75" customHeight="1">
      <c r="B54" s="15"/>
      <c r="C54" s="16"/>
      <c r="D54" s="15"/>
      <c r="E54" s="15"/>
      <c r="F54" s="15"/>
      <c r="G54" s="15"/>
      <c r="H54" s="15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4">
    <mergeCell ref="B3:B4"/>
    <mergeCell ref="C3:C4"/>
    <mergeCell ref="D3:H3"/>
    <mergeCell ref="I3:I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Eisen</dc:creator>
</cp:coreProperties>
</file>